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pec" sheetId="1" r:id="rId1"/>
    <sheet name="Issues list" sheetId="2" r:id="rId2"/>
    <sheet name="风险记录&amp;重大变更决议" sheetId="3" r:id="rId3"/>
    <sheet name="NPI阶段目标  " sheetId="4" r:id="rId4"/>
    <sheet name="弓叶对机械臂需求" sheetId="5" r:id="rId5"/>
    <sheet name="生产规划推进表" sheetId="6" r:id="rId6"/>
    <sheet name="良福模具报价" sheetId="7" r:id="rId7"/>
    <sheet name="HE3 成本预估" sheetId="8" r:id="rId8"/>
  </sheets>
  <definedNames>
    <definedName name="_xlnm._FilterDatabase" localSheetId="1">'Issues list'!$A$2:$AN$47</definedName>
    <definedName name="_xlnm._FilterDatabase" localSheetId="3">'NPI阶段目标  '!$2:$1048580</definedName>
    <definedName name="_xlnm._FilterDatabase">#REF!</definedName>
  </definedNames>
  <calcPr calcId="0" refMode="R1C1"/>
</workbook>
</file>

<file path=xl/sharedStrings.xml><?xml version="1.0" encoding="utf-8"?>
<sst xmlns="http://schemas.openxmlformats.org/spreadsheetml/2006/main">
  <si>
    <t>产品型号</t>
  </si>
  <si>
    <t>HE3-0900-3657-弓叶定制</t>
  </si>
  <si>
    <t/>
  </si>
  <si>
    <t>备注</t>
  </si>
  <si>
    <t>HE3 7 轴机器人Spec</t>
  </si>
  <si>
    <t>#</t>
  </si>
  <si>
    <t>型号</t>
  </si>
  <si>
    <t>HE3-0900-3657-00GY</t>
  </si>
  <si>
    <t>HE3-0900-3657-0000</t>
  </si>
  <si>
    <r>
      <rPr>
        <b/>
        <color rgb="FFFF0000"/>
        <rFont val="Songti SC Bold"/>
        <sz val="11"/>
      </rPr>
      <t xml:space="preserve">CS-260510</t>
    </r>
    <r>
      <rPr>
        <b/>
        <color rgb="FFFF0000"/>
        <rFont val="宋体"/>
        <sz val="11"/>
      </rPr>
      <t xml:space="preserve">》</t>
    </r>
    <r>
      <rPr>
        <color rgb="FF000000"/>
        <rFont val="宋体"/>
        <sz val="11"/>
      </rPr>
      <t xml:space="preserve">机器人型号需要能够辨识！</t>
    </r>
    <r>
      <rPr>
        <color rgb="FF000000"/>
        <rFont val="Songti SC Bold"/>
        <sz val="11"/>
      </rPr>
      <t xml:space="preserve">
CZY-260511</t>
    </r>
    <r>
      <rPr>
        <color rgb="FF000000"/>
        <rFont val="宋体"/>
        <sz val="11"/>
      </rPr>
      <t xml:space="preserve">》给弓叶定制型号为</t>
    </r>
    <r>
      <rPr>
        <color rgb="FF000000"/>
        <rFont val="Songti SC Bold"/>
        <sz val="11"/>
      </rPr>
      <t xml:space="preserve"> HE3-0900-3657-00GY</t>
    </r>
  </si>
  <si>
    <t>重复定位精度（mm）</t>
  </si>
  <si>
    <t>±0.03</t>
  </si>
  <si>
    <t>待机功耗</t>
  </si>
  <si>
    <t>≤12W</t>
  </si>
  <si>
    <t>有效工作半径 (mm)</t>
  </si>
  <si>
    <t>900</t>
  </si>
  <si>
    <t>自由度</t>
  </si>
  <si>
    <t>7</t>
  </si>
  <si>
    <t>额定负载(kg)</t>
  </si>
  <si>
    <t>1</t>
  </si>
  <si>
    <t>最大负载(kg)</t>
  </si>
  <si>
    <t>3</t>
  </si>
  <si>
    <t>本体供电电源</t>
  </si>
  <si>
    <t>DC 48V</t>
  </si>
  <si>
    <t>IP等级</t>
  </si>
  <si>
    <t>IP65</t>
  </si>
  <si>
    <t>噪音水平(dB)</t>
  </si>
  <si>
    <t>≤70</t>
  </si>
  <si>
    <t>安装方式</t>
  </si>
  <si>
    <t>正装、倒装、侧装</t>
  </si>
  <si>
    <t>末端（手臂上）</t>
  </si>
  <si>
    <t>1、末端增加示教、记录、暂停/继续按钮需要开发一款PCBA板，该板包含以下接口：3个专用按钮输入，3个RGB灯专用输出，2路通用AI（±10V）；2路通用DI（1kHz）；2路通用DO（NPN开路输出）CAN 接口扩展总线通信</t>
  </si>
  <si>
    <r>
      <rPr>
        <color rgb="FF000000"/>
        <rFont val="Songti SC Regular"/>
        <sz val="11"/>
      </rPr>
      <t xml:space="preserve">1</t>
    </r>
    <r>
      <rPr>
        <color rgb="FF000000"/>
        <rFont val="宋体"/>
        <sz val="11"/>
      </rPr>
      <t xml:space="preserve">、末端增加示教、记录、暂停</t>
    </r>
    <r>
      <rPr>
        <color rgb="FF000000"/>
        <rFont val="Songti SC Regular"/>
        <sz val="11"/>
      </rPr>
      <t xml:space="preserve">/</t>
    </r>
    <r>
      <rPr>
        <color rgb="FF000000"/>
        <rFont val="宋体"/>
        <sz val="11"/>
      </rPr>
      <t xml:space="preserve">继续按钮需要开发一款</t>
    </r>
    <r>
      <rPr>
        <color rgb="FF000000"/>
        <rFont val="Songti SC Regular"/>
        <sz val="11"/>
      </rPr>
      <t xml:space="preserve">PCBA</t>
    </r>
    <r>
      <rPr>
        <color rgb="FF000000"/>
        <rFont val="宋体"/>
        <sz val="11"/>
      </rPr>
      <t xml:space="preserve">板，该板包含以下接口：</t>
    </r>
    <r>
      <rPr>
        <color rgb="FF000000"/>
        <rFont val="Songti SC Regular"/>
        <sz val="11"/>
      </rPr>
      <t xml:space="preserve">3</t>
    </r>
    <r>
      <rPr>
        <color rgb="FF000000"/>
        <rFont val="宋体"/>
        <sz val="11"/>
      </rPr>
      <t xml:space="preserve">个专用按钮输入，</t>
    </r>
    <r>
      <rPr>
        <color rgb="FF000000"/>
        <rFont val="Songti SC Regular"/>
        <sz val="11"/>
      </rPr>
      <t xml:space="preserve">3</t>
    </r>
    <r>
      <rPr>
        <color rgb="FF000000"/>
        <rFont val="宋体"/>
        <sz val="11"/>
      </rPr>
      <t xml:space="preserve">个</t>
    </r>
    <r>
      <rPr>
        <color rgb="FF000000"/>
        <rFont val="Songti SC Regular"/>
        <sz val="11"/>
      </rPr>
      <t xml:space="preserve">RGB</t>
    </r>
    <r>
      <rPr>
        <color rgb="FF000000"/>
        <rFont val="宋体"/>
        <sz val="11"/>
      </rPr>
      <t xml:space="preserve">灯专用输出，</t>
    </r>
    <r>
      <rPr>
        <color rgb="FF000000"/>
        <rFont val="Songti SC Regular"/>
        <sz val="11"/>
      </rPr>
      <t xml:space="preserve">2</t>
    </r>
    <r>
      <rPr>
        <color rgb="FF000000"/>
        <rFont val="宋体"/>
        <sz val="11"/>
      </rPr>
      <t xml:space="preserve">路通用</t>
    </r>
    <r>
      <rPr>
        <color rgb="FF000000"/>
        <rFont val="Songti SC Regular"/>
        <sz val="11"/>
      </rPr>
      <t xml:space="preserve">AI</t>
    </r>
    <r>
      <rPr>
        <color rgb="FF000000"/>
        <rFont val="宋体"/>
        <sz val="11"/>
      </rPr>
      <t xml:space="preserve">（</t>
    </r>
    <r>
      <rPr>
        <color rgb="FF000000"/>
        <rFont val="Songti SC Regular"/>
        <sz val="11"/>
      </rPr>
      <t xml:space="preserve">±10V</t>
    </r>
    <r>
      <rPr>
        <color rgb="FF000000"/>
        <rFont val="宋体"/>
        <sz val="11"/>
      </rPr>
      <t xml:space="preserve">）；</t>
    </r>
    <r>
      <rPr>
        <color rgb="FF000000"/>
        <rFont val="Songti SC Regular"/>
        <sz val="11"/>
      </rPr>
      <t xml:space="preserve">2</t>
    </r>
    <r>
      <rPr>
        <color rgb="FF000000"/>
        <rFont val="宋体"/>
        <sz val="11"/>
      </rPr>
      <t xml:space="preserve">路通用</t>
    </r>
    <r>
      <rPr>
        <color rgb="FF000000"/>
        <rFont val="Songti SC Regular"/>
        <sz val="11"/>
      </rPr>
      <t xml:space="preserve">DI</t>
    </r>
    <r>
      <rPr>
        <color rgb="FF000000"/>
        <rFont val="宋体"/>
        <sz val="11"/>
      </rPr>
      <t xml:space="preserve">（</t>
    </r>
    <r>
      <rPr>
        <color rgb="FF000000"/>
        <rFont val="Songti SC Regular"/>
        <sz val="11"/>
      </rPr>
      <t xml:space="preserve">1kHz</t>
    </r>
    <r>
      <rPr>
        <color rgb="FF000000"/>
        <rFont val="宋体"/>
        <sz val="11"/>
      </rPr>
      <t xml:space="preserve">）；</t>
    </r>
    <r>
      <rPr>
        <color rgb="FF000000"/>
        <rFont val="Songti SC Regular"/>
        <sz val="11"/>
      </rPr>
      <t xml:space="preserve">2</t>
    </r>
    <r>
      <rPr>
        <color rgb="FF000000"/>
        <rFont val="宋体"/>
        <sz val="11"/>
      </rPr>
      <t xml:space="preserve">路通用</t>
    </r>
    <r>
      <rPr>
        <color rgb="FF000000"/>
        <rFont val="Songti SC Regular"/>
        <sz val="11"/>
      </rPr>
      <t xml:space="preserve">DO</t>
    </r>
    <r>
      <rPr>
        <color rgb="FF000000"/>
        <rFont val="宋体"/>
        <sz val="11"/>
      </rPr>
      <t xml:space="preserve">（</t>
    </r>
    <r>
      <rPr>
        <color rgb="FF000000"/>
        <rFont val="Songti SC Regular"/>
        <sz val="11"/>
      </rPr>
      <t xml:space="preserve">NPN</t>
    </r>
    <r>
      <rPr>
        <color rgb="FF000000"/>
        <rFont val="宋体"/>
        <sz val="11"/>
      </rPr>
      <t xml:space="preserve">开路输出）</t>
    </r>
    <r>
      <rPr>
        <color rgb="FF000000"/>
        <rFont val="Songti SC Regular"/>
        <sz val="11"/>
      </rPr>
      <t xml:space="preserve">CAN </t>
    </r>
    <r>
      <rPr>
        <color rgb="FF000000"/>
        <rFont val="宋体"/>
        <sz val="11"/>
      </rPr>
      <t xml:space="preserve">接口扩展总线通信</t>
    </r>
  </si>
  <si>
    <r>
      <rPr>
        <color rgb="FF000000"/>
        <rFont val="宋体"/>
        <sz val="11"/>
      </rPr>
      <t xml:space="preserve">不作为弓叶本次交付内容</t>
    </r>
    <r>
      <rPr>
        <color rgb="FF000000"/>
        <rFont val="等线"/>
        <sz val="12"/>
      </rPr>
      <t xml:space="preserve">
</t>
    </r>
    <r>
      <rPr>
        <b/>
        <color rgb="FFFF0000"/>
        <rFont val="Songti SC Bold"/>
        <sz val="11"/>
      </rPr>
      <t xml:space="preserve">CS-260510</t>
    </r>
    <r>
      <rPr>
        <b/>
        <color rgb="FFFF0000"/>
        <rFont val="宋体"/>
        <sz val="11"/>
      </rPr>
      <t xml:space="preserve">》</t>
    </r>
    <r>
      <rPr>
        <color rgb="FF000000"/>
        <rFont val="宋体"/>
        <sz val="11"/>
      </rPr>
      <t xml:space="preserve">虽然弓叶版本不交付，但是机械上的设计是否必须一次到位？在</t>
    </r>
    <r>
      <rPr>
        <color rgb="FF000000"/>
        <rFont val="Songti SC Regular"/>
        <sz val="11"/>
      </rPr>
      <t xml:space="preserve"> Octopus </t>
    </r>
    <r>
      <rPr>
        <color rgb="FF000000"/>
        <rFont val="宋体"/>
        <sz val="11"/>
      </rPr>
      <t xml:space="preserve">项目上，手眼就必须上，这同时对于它的拉线就必须能够实现。
CZY-260511》相机安装位、外部走线位等会增加，Endboard 因为比较厚，会占用臂展长度，要保证臂展长度一致，弓叶版本不做预留
</t>
    </r>
    <r>
      <rPr>
        <b/>
        <color rgb="FFFF0000"/>
        <rFont val="宋体"/>
        <sz val="11"/>
      </rPr>
      <t xml:space="preserve">CS-260512》</t>
    </r>
    <r>
      <rPr>
        <color rgb="FF000000"/>
        <rFont val="宋体"/>
        <sz val="11"/>
      </rPr>
      <t xml:space="preserve">最终只有一个设计（包含将来给弓叶的），空间、线缆、endboard、按钮(?) 、安装空位、等等，都应该想好如何预留！你上面叙述到底是针对目前弓叶的 10 台，还是最终设计？
CZY-260513》目前给弓叶第一批设计未做考虑，之后的版本都会预留endboard的空间和相关的线缆、按钮，对于弓叶endboard是一个可选项，所以与本体可拆卸</t>
    </r>
  </si>
  <si>
    <t>2、按钮输入：拖动示教+点位记录；</t>
  </si>
  <si>
    <r>
      <rPr>
        <color rgb="FF000000"/>
        <rFont val="Songti SC Regular"/>
        <sz val="11"/>
      </rPr>
      <t xml:space="preserve">2</t>
    </r>
    <r>
      <rPr>
        <color rgb="FF000000"/>
        <rFont val="宋体"/>
        <sz val="11"/>
      </rPr>
      <t xml:space="preserve">、按钮输入：拖动示教</t>
    </r>
    <r>
      <rPr>
        <color rgb="FF000000"/>
        <rFont val="Songti SC Regular"/>
        <sz val="11"/>
      </rPr>
      <t xml:space="preserve">+</t>
    </r>
    <r>
      <rPr>
        <color rgb="FF000000"/>
        <rFont val="宋体"/>
        <sz val="11"/>
      </rPr>
      <t xml:space="preserve">点位记录；</t>
    </r>
  </si>
  <si>
    <t>3、指示灯：暂定和按钮一体化 ，末端PCB用CAN通讯且留一组24V电源。</t>
  </si>
  <si>
    <r>
      <rPr>
        <color rgb="FF000000"/>
        <rFont val="Songti SC Regular"/>
        <sz val="11"/>
      </rPr>
      <t xml:space="preserve">3</t>
    </r>
    <r>
      <rPr>
        <color rgb="FF000000"/>
        <rFont val="宋体"/>
        <sz val="11"/>
      </rPr>
      <t xml:space="preserve">、指示灯：暂定和按钮一体化</t>
    </r>
    <r>
      <rPr>
        <color rgb="FF000000"/>
        <rFont val="Songti SC Regular"/>
        <sz val="11"/>
      </rPr>
      <t xml:space="preserve"> </t>
    </r>
    <r>
      <rPr>
        <color rgb="FF000000"/>
        <rFont val="宋体"/>
        <sz val="11"/>
      </rPr>
      <t xml:space="preserve">，末端</t>
    </r>
    <r>
      <rPr>
        <color rgb="FF000000"/>
        <rFont val="Songti SC Regular"/>
        <sz val="11"/>
      </rPr>
      <t xml:space="preserve">PCB</t>
    </r>
    <r>
      <rPr>
        <color rgb="FF000000"/>
        <rFont val="宋体"/>
        <sz val="11"/>
      </rPr>
      <t xml:space="preserve">用</t>
    </r>
    <r>
      <rPr>
        <color rgb="FF000000"/>
        <rFont val="Songti SC Regular"/>
        <sz val="11"/>
      </rPr>
      <t xml:space="preserve">CAN</t>
    </r>
    <r>
      <rPr>
        <color rgb="FF000000"/>
        <rFont val="宋体"/>
        <sz val="11"/>
      </rPr>
      <t xml:space="preserve">通讯且留一组</t>
    </r>
    <r>
      <rPr>
        <color rgb="FF000000"/>
        <rFont val="Songti SC Regular"/>
        <sz val="11"/>
      </rPr>
      <t xml:space="preserve">24V</t>
    </r>
    <r>
      <rPr>
        <color rgb="FF000000"/>
        <rFont val="宋体"/>
        <sz val="11"/>
      </rPr>
      <t xml:space="preserve">电源。</t>
    </r>
  </si>
  <si>
    <t>4、末端法兰孔位1*：末端法兰需要预留孔位，便于安装相机、力控传感器、包括外部线缆固定孔位</t>
  </si>
  <si>
    <t>基座孔位</t>
  </si>
  <si>
    <t>一轴装入倒装基座内部，方案不定</t>
  </si>
  <si>
    <t>配线长度</t>
  </si>
  <si>
    <t>3m</t>
  </si>
  <si>
    <t>电控柜到本体基座配线待定</t>
  </si>
  <si>
    <r>
      <rPr>
        <color rgb="FF000000"/>
        <rFont val="宋体"/>
        <sz val="11"/>
      </rPr>
      <t xml:space="preserve">按客户需求</t>
    </r>
    <r>
      <rPr>
        <color rgb="FF000000"/>
        <rFont val="等线"/>
        <sz val="12"/>
      </rPr>
      <t xml:space="preserve">
</t>
    </r>
    <r>
      <rPr>
        <b/>
        <color rgb="FFFF0000"/>
        <rFont val="Songti SC Bold"/>
        <sz val="11"/>
      </rPr>
      <t xml:space="preserve">CS-260510</t>
    </r>
    <r>
      <rPr>
        <b/>
        <color rgb="FFFF0000"/>
        <rFont val="宋体"/>
        <sz val="11"/>
      </rPr>
      <t xml:space="preserve">》</t>
    </r>
    <r>
      <rPr>
        <color rgb="FF000000"/>
        <rFont val="宋体"/>
        <sz val="11"/>
      </rPr>
      <t xml:space="preserve">这个配线指的是什么？
CZY-260511》配线是指本体到电控柜间的电源线。</t>
    </r>
  </si>
  <si>
    <t>本体重量（Kg）</t>
  </si>
  <si>
    <t>≤13.5</t>
  </si>
  <si>
    <t>本体颜色</t>
  </si>
  <si>
    <t>银色</t>
  </si>
  <si>
    <t>根据工业设计结果制定</t>
  </si>
  <si>
    <t>交期紧急，优先按照第一版样机做细节优化，尽量保证与第一版外观、杆长、工作半径一致性</t>
  </si>
  <si>
    <t>本体构型</t>
  </si>
  <si>
    <t>机加工</t>
  </si>
  <si>
    <t>开模</t>
  </si>
  <si>
    <r>
      <rPr>
        <color rgb="FF000000"/>
        <rFont val="宋体"/>
        <sz val="11"/>
      </rPr>
      <t xml:space="preserve">交期紧急，且后续会进行工业设计，暂不考虑开模</t>
    </r>
    <r>
      <rPr>
        <color rgb="FF000000"/>
        <rFont val="等线"/>
        <sz val="12"/>
      </rPr>
      <t xml:space="preserve">
</t>
    </r>
    <r>
      <rPr>
        <b/>
        <color rgb="FFFF0000"/>
        <rFont val="Songti SC Bold"/>
        <sz val="11"/>
      </rPr>
      <t xml:space="preserve">CS-260510</t>
    </r>
    <r>
      <rPr>
        <b/>
        <color rgb="FFFF0000"/>
        <rFont val="宋体"/>
        <sz val="11"/>
      </rPr>
      <t xml:space="preserve">》对于弓叶交货，有多少机台是机加件？</t>
    </r>
    <r>
      <rPr>
        <color rgb="FF000000"/>
        <rFont val="等线"/>
        <sz val="12"/>
      </rPr>
      <t xml:space="preserve">
</t>
    </r>
    <r>
      <rPr>
        <color rgb="FF000000"/>
        <rFont val="Songti SC Regular"/>
        <sz val="11"/>
      </rPr>
      <t xml:space="preserve">CZY-260511</t>
    </r>
    <r>
      <rPr>
        <color rgb="FF000000"/>
        <rFont val="宋体"/>
        <sz val="11"/>
      </rPr>
      <t xml:space="preserve">》已与金鑫彤确认，签单</t>
    </r>
    <r>
      <rPr>
        <color rgb="FF000000"/>
        <rFont val="Songti SC Regular"/>
        <sz val="11"/>
      </rPr>
      <t xml:space="preserve"> 60 </t>
    </r>
    <r>
      <rPr>
        <color rgb="FF000000"/>
        <rFont val="宋体"/>
        <sz val="11"/>
      </rPr>
      <t xml:space="preserve">台机械臂，全部采用机加形式，60 台开模不划算，模具费用无法覆盖，订单数量预计要到 230 台以上才能覆盖模具费用</t>
    </r>
  </si>
  <si>
    <t>刹车</t>
  </si>
  <si>
    <t>整机带刹车</t>
  </si>
  <si>
    <t>走线</t>
  </si>
  <si>
    <t>内走线</t>
  </si>
  <si>
    <t>整机功率</t>
  </si>
  <si>
    <t>1kW</t>
  </si>
  <si>
    <t>各轴最大速度</t>
  </si>
  <si>
    <t>J1(°/s)</t>
  </si>
  <si>
    <t>J2(°/s)</t>
  </si>
  <si>
    <t>J3(°/s)</t>
  </si>
  <si>
    <t>J4(°/s)</t>
  </si>
  <si>
    <t>J5(°/s)</t>
  </si>
  <si>
    <t>J6(°/s)</t>
  </si>
  <si>
    <t>J7(°/s)</t>
  </si>
  <si>
    <t>各轴工作空间</t>
  </si>
  <si>
    <t>J1（°）</t>
  </si>
  <si>
    <t>±180</t>
  </si>
  <si>
    <t>J2（°）</t>
  </si>
  <si>
    <t>±90</t>
  </si>
  <si>
    <t>J3（°）</t>
  </si>
  <si>
    <t>J4（°）</t>
  </si>
  <si>
    <t>J5（°）</t>
  </si>
  <si>
    <t>J6（°）</t>
  </si>
  <si>
    <t>±85</t>
  </si>
  <si>
    <t>J7（°）</t>
  </si>
  <si>
    <t>各轴减速比</t>
  </si>
  <si>
    <t>J1</t>
  </si>
  <si>
    <r>
      <rPr>
        <b/>
        <color rgb="FFFF0000"/>
        <rFont val="Songti SC Bold"/>
        <sz val="11"/>
      </rPr>
      <t xml:space="preserve">CS-260510</t>
    </r>
    <r>
      <rPr>
        <b/>
        <color rgb="FFFF0000"/>
        <rFont val="宋体"/>
        <sz val="11"/>
      </rPr>
      <t xml:space="preserve">》</t>
    </r>
    <r>
      <rPr>
        <color rgb="FF000000"/>
        <rFont val="宋体"/>
        <sz val="11"/>
      </rPr>
      <t xml:space="preserve">说明清楚每个轴使用什么类型的减速机？可能需要考虑谐波和行星两种设计。</t>
    </r>
    <r>
      <rPr>
        <color rgb="FF000000"/>
        <rFont val="Songti SC Bold"/>
        <sz val="11"/>
      </rPr>
      <t xml:space="preserve">
CZY-260511</t>
    </r>
    <r>
      <rPr>
        <color rgb="FF000000"/>
        <rFont val="宋体"/>
        <sz val="11"/>
      </rPr>
      <t xml:space="preserve">》目前所有轴都采用谐波模组，减速比均为</t>
    </r>
    <r>
      <rPr>
        <color rgb="FF000000"/>
        <rFont val="Songti SC Bold"/>
        <sz val="11"/>
      </rPr>
      <t xml:space="preserve"> 100</t>
    </r>
    <r>
      <rPr>
        <color rgb="FF000000"/>
        <rFont val="宋体"/>
        <sz val="11"/>
      </rPr>
      <t xml:space="preserve">，行星模组目前在</t>
    </r>
    <r>
      <rPr>
        <color rgb="FF000000"/>
        <rFont val="Songti SC Bold"/>
        <sz val="11"/>
      </rPr>
      <t xml:space="preserve"> CR </t>
    </r>
    <r>
      <rPr>
        <color rgb="FF000000"/>
        <rFont val="宋体"/>
        <sz val="11"/>
      </rPr>
      <t xml:space="preserve">上验证尚未完成，另外其减速比太小，减速比加大的话模组尺寸会加大很多，现有结构无法兼容。</t>
    </r>
  </si>
  <si>
    <t>J2</t>
  </si>
  <si>
    <t>J3</t>
  </si>
  <si>
    <t>J4</t>
  </si>
  <si>
    <t>J5</t>
  </si>
  <si>
    <t>J6</t>
  </si>
  <si>
    <t>J7</t>
  </si>
  <si>
    <t>环境要求</t>
  </si>
  <si>
    <t>工作温湿度</t>
  </si>
  <si>
    <t>温度-20-50℃，湿度10%-80%RH，有凝露</t>
  </si>
  <si>
    <t>储存/运输温湿度</t>
  </si>
  <si>
    <t>温度-40-65℃，湿度10%-90%RH，有凝露</t>
  </si>
  <si>
    <t>工作/储存/运输
气压</t>
  </si>
  <si>
    <t>60-106 kPa</t>
  </si>
  <si>
    <t>电快速瞬变脉冲群抗扰度</t>
  </si>
  <si>
    <t>电源端口 ：2kV或以下</t>
  </si>
  <si>
    <t>测试时间过长，第一批交付暂时不涉及EMC测试，后续总部的样机继续完成EMC摸底</t>
  </si>
  <si>
    <t>信号端口 ：1kV或以下</t>
  </si>
  <si>
    <t>静电抗扰度</t>
  </si>
  <si>
    <t>接触放电 ：4kV或以下</t>
  </si>
  <si>
    <t>空气放电 ：8kV或以下</t>
  </si>
  <si>
    <t>工作、储存、运输周围环境</t>
  </si>
  <si>
    <t>安置在室外，能承受降水（水、雪、雹）、冷凝等影响</t>
  </si>
  <si>
    <t>能阳光直射</t>
  </si>
  <si>
    <t>远离灰尘、油烟、盐分、铁屑或其他污染物</t>
  </si>
  <si>
    <t>远离易燃、腐蚀性液体与气体</t>
  </si>
  <si>
    <t>远离电气干扰源</t>
  </si>
  <si>
    <t>远离爆炸危险区域</t>
  </si>
  <si>
    <t>避免大量辐射</t>
  </si>
  <si>
    <t>工作情况下的振动允许范围</t>
  </si>
  <si>
    <t>按照 IEC 60721-3-3 3M11等级</t>
  </si>
  <si>
    <t>静态随机振动（加速度谱密度）：0.01(m/s^2)^2/Hz</t>
  </si>
  <si>
    <t>静态随机振动频率范围:5-200 Hz</t>
  </si>
  <si>
    <t>位移幅值：3mm</t>
  </si>
  <si>
    <t>位移频率范围：2-5Hz</t>
  </si>
  <si>
    <t>静载无冲击</t>
  </si>
  <si>
    <t>储存情况下的振动允许范围</t>
  </si>
  <si>
    <t>静态随机振动（加速度谱密度）：0.1(m/s^2)^2/Hz</t>
  </si>
  <si>
    <t>运输情况下的振动允许范围</t>
  </si>
  <si>
    <t>位移幅值：10mm</t>
  </si>
  <si>
    <t>最大静载5 kPa</t>
  </si>
  <si>
    <t>电气连接 -- 电控柜</t>
  </si>
  <si>
    <t>外部输入电源</t>
  </si>
  <si>
    <t>电压</t>
  </si>
  <si>
    <t>DC48V 用于给本体供电</t>
  </si>
  <si>
    <t>尺寸要求</t>
  </si>
  <si>
    <t>长：≤400mm宽：≤400mm高：≤250mm</t>
  </si>
  <si>
    <r>
      <rPr>
        <color rgb="FF000000"/>
        <rFont val="Times New Roman"/>
        <sz val="10.5"/>
      </rPr>
      <t xml:space="preserve">为符合安规，电控柜需要急停开关</t>
    </r>
    <r>
      <rPr>
        <color rgb="FF000000"/>
        <rFont val="Calibri"/>
        <sz val="10.5"/>
      </rPr>
      <t xml:space="preserve">  </t>
    </r>
  </si>
  <si>
    <t>待定</t>
  </si>
  <si>
    <t>按照目前MS6电控柜细化</t>
  </si>
  <si>
    <t>重量</t>
  </si>
  <si>
    <r>
      <rPr>
        <color rgb="FF000000"/>
        <rFont val="Times New Roman"/>
        <sz val="10.5"/>
      </rPr>
      <t xml:space="preserve">长：</t>
    </r>
    <r>
      <rPr>
        <color rgb="FF000000"/>
        <rFont val="Times New Roman"/>
        <sz val="10.5"/>
      </rPr>
      <t xml:space="preserve">≤400mm</t>
    </r>
  </si>
  <si>
    <t>通讯方式</t>
  </si>
  <si>
    <t>Comm-E有3个网口：</t>
  </si>
  <si>
    <t>Comm-E有4个网口：</t>
  </si>
  <si>
    <t>网口一：用户以太网接口，1个，支持协议TCP/IP； 用于与客户控制板、电脑等通讯</t>
  </si>
  <si>
    <t>网口一：用户以太网接口，1个，支持协议TCP/IP,ModbusTCP； 用于与客户控制板、电脑等通讯</t>
  </si>
  <si>
    <t>网口二：EtherCAT接口，1个，用于机器人与外部控制单元</t>
  </si>
  <si>
    <t>网口三：MCP接口，1个，用于连接MCP示教器；</t>
  </si>
  <si>
    <t>网口四：QNET协议接口，1个，用于机器人与外端视觉模块的实时千兆网通讯</t>
  </si>
  <si>
    <t>1个 RS-232 串口通讯接口</t>
  </si>
  <si>
    <t>RS-232，Comm-E，1个 RS-232 串口通讯接口；用于机器人与外端力矩传感器通讯（中间需将 RS-232 转成 RS-485 串口通讯）</t>
  </si>
  <si>
    <r>
      <rPr>
        <b/>
        <color rgb="FFFF0000"/>
        <rFont val="Songti SC Bold"/>
        <sz val="11"/>
      </rPr>
      <t xml:space="preserve">CS-260510</t>
    </r>
    <r>
      <rPr>
        <b/>
        <color rgb="FFFF0000"/>
        <rFont val="宋体"/>
        <sz val="11"/>
      </rPr>
      <t xml:space="preserve">》</t>
    </r>
    <r>
      <rPr>
        <color rgb="FF000000"/>
        <rFont val="宋体"/>
        <sz val="11"/>
      </rPr>
      <t xml:space="preserve">到目前为止，我还是没有看到一个对于外部传感器（例如力传感器、灵巧手）的对接方式整理。这需要尽快建立起来。</t>
    </r>
    <r>
      <rPr>
        <color rgb="FF000000"/>
        <rFont val="Songti SC Bold"/>
        <sz val="11"/>
      </rPr>
      <t xml:space="preserve">
CZY-260511</t>
    </r>
    <r>
      <rPr>
        <color rgb="FF000000"/>
        <rFont val="宋体"/>
        <sz val="11"/>
      </rPr>
      <t xml:space="preserve">》力传感器可以直接安装在末端法兰上，灵巧手等连接方式后续会调研其结构确定如何预留安装孔位，此部分设计只需要修改末端法兰安装孔位即可
</t>
    </r>
    <r>
      <rPr>
        <b/>
        <color rgb="FFFF0000"/>
        <rFont val="Songti SC Bold"/>
        <sz val="11"/>
      </rPr>
      <t xml:space="preserve">CS-260512</t>
    </r>
    <r>
      <rPr>
        <b/>
        <color rgb="FFFF0000"/>
        <rFont val="宋体"/>
        <sz val="11"/>
      </rPr>
      <t xml:space="preserve">》</t>
    </r>
    <r>
      <rPr>
        <color rgb="FF000000"/>
        <rFont val="宋体"/>
        <sz val="11"/>
      </rPr>
      <t xml:space="preserve">这不只是机械上的对接，主要是线缆（</t>
    </r>
    <r>
      <rPr>
        <color rgb="FF000000"/>
        <rFont val="Songti SC Bold"/>
        <sz val="11"/>
      </rPr>
      <t xml:space="preserve">CAN</t>
    </r>
    <r>
      <rPr>
        <color rgb="FF000000"/>
        <rFont val="宋体"/>
        <sz val="11"/>
      </rPr>
      <t xml:space="preserve">、</t>
    </r>
    <r>
      <rPr>
        <color rgb="FF000000"/>
        <rFont val="Songti SC Bold"/>
        <sz val="11"/>
      </rPr>
      <t xml:space="preserve">RS485?</t>
    </r>
    <r>
      <rPr>
        <color rgb="FF000000"/>
        <rFont val="宋体"/>
        <sz val="11"/>
      </rPr>
      <t xml:space="preserve">）和协议？
</t>
    </r>
    <r>
      <rPr>
        <color rgb="FF000000"/>
        <rFont val="Songti SC Bold"/>
        <sz val="11"/>
      </rPr>
      <t xml:space="preserve">CZY-260513</t>
    </r>
    <r>
      <rPr>
        <color rgb="FF000000"/>
        <rFont val="宋体"/>
        <sz val="11"/>
      </rPr>
      <t xml:space="preserve">》具体使用的线缆和协议需要等力矩传感器选型结束确定，第二代样机设计会预留孔位</t>
    </r>
  </si>
  <si>
    <t>1个 CAN 总线通讯接口</t>
  </si>
  <si>
    <t>CAN，Comm-E，1个 CAN 总线通讯接口；用于与电机模组通讯。</t>
  </si>
  <si>
    <t>运动控制</t>
  </si>
  <si>
    <t>MoveJ (关节空间运动)</t>
  </si>
  <si>
    <t>各关节以同步协同方式运动到目标位姿，支持设置速度百分比及加速度。</t>
  </si>
  <si>
    <t>MoveL (笛卡尔空间直线运动)</t>
  </si>
  <si>
    <t>末端 TCP 以直线方式运动到目标位姿，支持平滑姿态插补</t>
  </si>
  <si>
    <t>MoveC (笛卡尔空间圆弧运动)</t>
  </si>
  <si>
    <t>通过起点、途径点及终点实现圆弧轨迹运动</t>
  </si>
  <si>
    <t>ServoJ (关节透传)</t>
  </si>
  <si>
    <t>支持外部控制器高频率推送位置指令，具备指令平滑过滤算法</t>
  </si>
  <si>
    <t>ServoL (笛卡尔透传)</t>
  </si>
  <si>
    <t>支持高频率推送 TCP 目标位姿，实时完成逆运动学求解</t>
  </si>
  <si>
    <t>阻抗控制</t>
  </si>
  <si>
    <t>暂无</t>
  </si>
  <si>
    <t>支持配置刚度和阻尼参数，用于柔顺交互</t>
  </si>
  <si>
    <t>重力补偿</t>
  </si>
  <si>
    <t>满足</t>
  </si>
  <si>
    <t>逆运动学求解</t>
  </si>
  <si>
    <t>接口实现，能够通过输入末端位姿输出各个关节位置</t>
  </si>
  <si>
    <r>
      <rPr>
        <b/>
        <color rgb="FF1F1F1F"/>
        <rFont val="Songti SC Regular"/>
        <sz val="11"/>
      </rPr>
      <t xml:space="preserve">ServoJ </t>
    </r>
    <r>
      <rPr>
        <b/>
        <color rgb="FF000000"/>
        <rFont val="Songti SC Regular"/>
        <sz val="12"/>
      </rPr>
      <t xml:space="preserve">指标</t>
    </r>
  </si>
  <si>
    <t>验收标准</t>
  </si>
  <si>
    <t>控制频率稳定性</t>
  </si>
  <si>
    <t>≥ 125 Hz 且无明显波动（抖动 &lt; 5%）</t>
  </si>
  <si>
    <t>控制延迟</t>
  </si>
  <si>
    <t>≤ 10 ms（95分位）</t>
  </si>
  <si>
    <t>控制延迟（通讯周期）</t>
  </si>
  <si>
    <r>
      <rPr>
        <b/>
        <color rgb="FFFF0000"/>
        <rFont val="Songti SC Bold"/>
        <sz val="11"/>
      </rPr>
      <t xml:space="preserve">CS-260510</t>
    </r>
    <r>
      <rPr>
        <b/>
        <color rgb="FFFF0000"/>
        <rFont val="宋体"/>
        <sz val="11"/>
      </rPr>
      <t xml:space="preserve">》</t>
    </r>
    <r>
      <rPr>
        <color rgb="FF000000"/>
        <rFont val="宋体"/>
        <sz val="11"/>
      </rPr>
      <t xml:space="preserve">定义清楚</t>
    </r>
    <r>
      <rPr>
        <color rgb="FF000000"/>
        <rFont val="Songti SC Regular"/>
        <sz val="11"/>
      </rPr>
      <t xml:space="preserve"> “</t>
    </r>
    <r>
      <rPr>
        <color rgb="FF000000"/>
        <rFont val="宋体"/>
        <sz val="11"/>
      </rPr>
      <t xml:space="preserve">控制延迟</t>
    </r>
    <r>
      <rPr>
        <color rgb="FF000000"/>
        <rFont val="Songti SC Regular"/>
        <sz val="11"/>
      </rPr>
      <t xml:space="preserve">”</t>
    </r>
    <r>
      <rPr>
        <color rgb="FF000000"/>
        <rFont val="宋体"/>
        <sz val="11"/>
      </rPr>
      <t xml:space="preserve">！</t>
    </r>
    <r>
      <rPr>
        <color rgb="FF000000"/>
        <rFont val="Songti SC Bold"/>
        <sz val="11"/>
      </rPr>
      <t xml:space="preserve">
CZY-260512</t>
    </r>
    <r>
      <rPr>
        <color rgb="FF000000"/>
        <rFont val="宋体"/>
        <sz val="11"/>
      </rPr>
      <t xml:space="preserve">》这里是指通讯周期</t>
    </r>
  </si>
  <si>
    <t>丢帧率</t>
  </si>
  <si>
    <t>0（连续运行10分钟）</t>
  </si>
  <si>
    <t>延迟一致性</t>
  </si>
  <si>
    <t>std(latency) ≤ 2 ms</t>
  </si>
  <si>
    <t>延迟一致性（通讯周期一致性）</t>
  </si>
  <si>
    <r>
      <rPr>
        <b/>
        <color rgb="FFFF0000"/>
        <rFont val="Songti SC Bold"/>
        <sz val="11"/>
      </rPr>
      <t xml:space="preserve">CS-260510</t>
    </r>
    <r>
      <rPr>
        <b/>
        <color rgb="FFFF0000"/>
        <rFont val="宋体"/>
        <sz val="11"/>
      </rPr>
      <t xml:space="preserve">》</t>
    </r>
    <r>
      <rPr>
        <color rgb="FF000000"/>
        <rFont val="宋体"/>
        <sz val="11"/>
      </rPr>
      <t xml:space="preserve">同前，定义清楚！</t>
    </r>
    <r>
      <rPr>
        <color rgb="FF000000"/>
        <rFont val="Songti SC Bold"/>
        <sz val="11"/>
      </rPr>
      <t xml:space="preserve">
CZY-260512</t>
    </r>
    <r>
      <rPr>
        <color rgb="FF000000"/>
        <rFont val="宋体"/>
        <sz val="11"/>
      </rPr>
      <t xml:space="preserve">》这里是指通讯周期的一致性</t>
    </r>
  </si>
  <si>
    <t>其他</t>
  </si>
  <si>
    <t>环境温度</t>
  </si>
  <si>
    <t>-20~50℃</t>
  </si>
  <si>
    <t>环境湿度</t>
  </si>
  <si>
    <t>相对湿度≤95%RH，(有凝露)</t>
  </si>
  <si>
    <t>安装在客户提供的机柜内部</t>
  </si>
  <si>
    <t>颜色</t>
  </si>
  <si>
    <t>倒装/客户定制</t>
  </si>
  <si>
    <t>认证</t>
  </si>
  <si>
    <t>无</t>
  </si>
  <si>
    <t>CE认证（暂定）</t>
  </si>
  <si>
    <t>外观、结构设计对比</t>
  </si>
  <si>
    <t>整体外观风格</t>
  </si>
  <si>
    <t>方块结构连接，多弧度混合</t>
  </si>
  <si>
    <t>一体化圆柱结构</t>
  </si>
  <si>
    <r>
      <rPr>
        <color rgb="FF000000"/>
        <rFont val="Songti SC Regular"/>
        <sz val="11"/>
      </rPr>
      <t xml:space="preserve">CZY-260513</t>
    </r>
    <r>
      <rPr>
        <color rgb="FF000000"/>
        <rFont val="宋体"/>
        <sz val="11"/>
      </rPr>
      <t xml:space="preserve">》各轴链接改为上下对接的双圆柱结构，消除旋转时的视觉断裂感。</t>
    </r>
  </si>
  <si>
    <t>关节弧度设计</t>
  </si>
  <si>
    <t>大弧、小弧、直角混用</t>
  </si>
  <si>
    <t>全段对称统一弧度</t>
  </si>
  <si>
    <r>
      <rPr>
        <color rgb="FF000000"/>
        <rFont val="Songti SC Regular"/>
        <sz val="11"/>
      </rPr>
      <t xml:space="preserve">CZY-260513</t>
    </r>
    <r>
      <rPr>
        <color rgb="FF000000"/>
        <rFont val="宋体"/>
        <sz val="11"/>
      </rPr>
      <t xml:space="preserve">》要求所有转角关节在旋转时无突出物，外观流畅顺滑，避免一长一短或一边有弧一边无弧。</t>
    </r>
  </si>
  <si>
    <r>
      <rPr>
        <color rgb="FF000000"/>
        <rFont val="宋体"/>
        <sz val="11"/>
      </rPr>
      <t xml:space="preserve">五、六轴</t>
    </r>
    <r>
      <rPr>
        <color rgb="FF000000"/>
        <rFont val="Songti SC Regular"/>
        <sz val="11"/>
      </rPr>
      <t xml:space="preserve"> </t>
    </r>
    <r>
      <rPr>
        <color rgb="FF000000"/>
        <rFont val="宋体"/>
        <sz val="11"/>
      </rPr>
      <t xml:space="preserve">长度</t>
    </r>
  </si>
  <si>
    <t>319mm</t>
  </si>
  <si>
    <t>在保持实用性的同时，尽量减少非工作状态的突兀感。</t>
  </si>
  <si>
    <t>手眼相机安装位</t>
  </si>
  <si>
    <t>末端法兰</t>
  </si>
  <si>
    <t>六轴外壳上留出固定空间</t>
  </si>
  <si>
    <r>
      <rPr>
        <color rgb="FF000000"/>
        <rFont val="宋体"/>
        <sz val="11"/>
      </rPr>
      <t xml:space="preserve">工具</t>
    </r>
    <r>
      <rPr>
        <color rgb="FF000000"/>
        <rFont val="宋体"/>
        <sz val="12"/>
      </rPr>
      <t xml:space="preserve">空间考虑</t>
    </r>
  </si>
  <si>
    <t>未考虑</t>
  </si>
  <si>
    <t>利用折叠状态六轴与二轴之间的空间</t>
  </si>
  <si>
    <r>
      <rPr>
        <color rgb="FF000000"/>
        <rFont val="Songti SC Regular"/>
        <sz val="11"/>
      </rPr>
      <t xml:space="preserve">CZY-260513</t>
    </r>
    <r>
      <rPr>
        <color rgb="FF000000"/>
        <rFont val="宋体"/>
        <sz val="11"/>
      </rPr>
      <t xml:space="preserve">》六轴末端装工具，也要能回到初始折叠位置</t>
    </r>
  </si>
  <si>
    <r>
      <rPr>
        <color rgb="FF000000"/>
        <rFont val="Helvetica Neue"/>
        <sz val="11"/>
      </rPr>
      <t xml:space="preserve">Issues list -</t>
    </r>
    <r>
      <rPr>
        <color rgb="FF000000"/>
        <rFont val="宋体"/>
        <sz val="11"/>
      </rPr>
      <t xml:space="preserve">【</t>
    </r>
    <r>
      <rPr>
        <color rgb="FF000000"/>
        <rFont val="Helvetica Neue"/>
        <sz val="11"/>
      </rPr>
      <t xml:space="preserve">HE</t>
    </r>
    <r>
      <rPr>
        <color rgb="FF000000"/>
        <rFont val="宋体"/>
        <sz val="11"/>
      </rPr>
      <t xml:space="preserve">3-弓叶项目】</t>
    </r>
  </si>
  <si>
    <t>更新人员/日期：陈真宇，2026/7/10</t>
  </si>
  <si>
    <t>审核人员/日期：曹小贝，2026/7/10</t>
  </si>
  <si>
    <r>
      <rPr>
        <color rgb="FF000000"/>
        <rFont val="宋体"/>
        <sz val="11"/>
      </rPr>
      <t xml:space="preserve">本文档记录</t>
    </r>
    <r>
      <rPr>
        <color rgb="FF000000"/>
        <rFont val="Helvetica Neue"/>
        <sz val="11"/>
      </rPr>
      <t xml:space="preserve"> HE3-</t>
    </r>
    <r>
      <rPr>
        <color rgb="FF000000"/>
        <rFont val="宋体"/>
        <sz val="11"/>
      </rPr>
      <t xml:space="preserve">弓叶</t>
    </r>
    <r>
      <rPr>
        <color rgb="FF000000"/>
        <rFont val="Helvetica Neue"/>
        <sz val="11"/>
      </rPr>
      <t xml:space="preserve"> </t>
    </r>
    <r>
      <rPr>
        <color rgb="FF000000"/>
        <rFont val="宋体"/>
        <sz val="11"/>
      </rPr>
      <t xml:space="preserve">项目开发过程遇到的所有问题、异常和改进点，这些任务不一定要马上建立</t>
    </r>
    <r>
      <rPr>
        <color rgb="FF000000"/>
        <rFont val="Helvetica Neue"/>
        <sz val="11"/>
      </rPr>
      <t xml:space="preserve"> Redmine </t>
    </r>
    <r>
      <rPr>
        <color rgb="FF000000"/>
        <rFont val="宋体"/>
        <sz val="11"/>
      </rPr>
      <t xml:space="preserve">任务号，但需要进行计划。</t>
    </r>
  </si>
  <si>
    <t>需求来源</t>
  </si>
  <si>
    <t>类别</t>
  </si>
  <si>
    <t>责任人</t>
  </si>
  <si>
    <t>问题描述</t>
  </si>
  <si>
    <t>具体描述</t>
  </si>
  <si>
    <t>Redmine</t>
  </si>
  <si>
    <t>预估工时
（H）</t>
  </si>
  <si>
    <t>预计截止日期</t>
  </si>
  <si>
    <t>目前状态</t>
  </si>
  <si>
    <t>解决方案</t>
  </si>
  <si>
    <t>当前进展</t>
  </si>
  <si>
    <t>图片</t>
  </si>
  <si>
    <t>本次交付必需解决问题</t>
  </si>
  <si>
    <t>机械问题</t>
  </si>
  <si>
    <t>QKM</t>
  </si>
  <si>
    <t>结构</t>
  </si>
  <si>
    <t>陈真宇</t>
  </si>
  <si>
    <t>6、7轴结构安装存在抖动</t>
  </si>
  <si>
    <t>目前结构6、7轴结构安装不稳，深沟球轴承背隙过大</t>
  </si>
  <si>
    <t>#65154</t>
  </si>
  <si>
    <t>已完成</t>
  </si>
  <si>
    <t>后面采用双列角接触轴承替代</t>
  </si>
  <si>
    <t>CZY-260513》已完成轴承选型
CZY-260507》正在进行中</t>
  </si>
  <si>
    <t>外观</t>
  </si>
  <si>
    <t>端盖安装位置偏差</t>
  </si>
  <si>
    <t>走线空间预留不足，线缆突出与端盖干涉</t>
  </si>
  <si>
    <t>#65159</t>
  </si>
  <si>
    <t>优化走线空间</t>
  </si>
  <si>
    <t>CZY-260513》更换短款模组后二轴走线空间有改善。
CZY-260507》正在进行中</t>
  </si>
  <si>
    <t>安装</t>
  </si>
  <si>
    <t>扳手空间预留不足</t>
  </si>
  <si>
    <t>扳手空间预留不足，影响生产组装</t>
  </si>
  <si>
    <t>设计安装工装</t>
  </si>
  <si>
    <t>CZY-260513》针对装配困难部位设计工装辅助
CZY-260507》正在进行中</t>
  </si>
  <si>
    <t>电气问题</t>
  </si>
  <si>
    <t>功能</t>
  </si>
  <si>
    <t>赖周荣</t>
  </si>
  <si>
    <t>COMM-E I/O定义与分布需要重新进行I/O映射调整，BOM未定型</t>
  </si>
  <si>
    <t>COMM-E I/O定义与分布需要重新进行I/O映射调整，BOM未定型,影响原理图细化</t>
  </si>
  <si>
    <t>#65168</t>
  </si>
  <si>
    <t>锁定COMM-E I/O定义，不再变更。依据锁定I/O，尽快完成原理图细化。</t>
  </si>
  <si>
    <t>LZR-20260518》图纸已下单
LZR-20260507》正在完善MS6图纸</t>
  </si>
  <si>
    <t>继电器板的继电器无法吸合，48V无输出</t>
  </si>
  <si>
    <t>发现继电器板有一个问题，急停按n次（可能几次，十几次，几十次）后会出现急停复位后，继电器板的继电器无法吸合，48V无输出，必须要断电重启才可以</t>
  </si>
  <si>
    <t>进行中</t>
  </si>
  <si>
    <t>还在排查问题，正在复现问题。</t>
  </si>
  <si>
    <r>
      <rPr>
        <color rgb="FF000000"/>
        <rFont val="等线"/>
        <sz val="10"/>
      </rPr>
      <t xml:space="preserve">CZY-260611》德明重新急停再复位200+次，暂未复现出问题</t>
    </r>
    <r>
      <rPr>
        <color rgb="FF000000"/>
        <rFont val="等线"/>
        <sz val="12"/>
      </rPr>
      <t xml:space="preserve">
</t>
    </r>
    <r>
      <rPr>
        <color rgb="FF000000"/>
        <rFont val="等线"/>
        <sz val="10"/>
      </rPr>
      <t xml:space="preserve">CZY-260603》正在复现问题，已经和荣魁反馈，需要复现报警查阅日志使能信号是否有关闭</t>
    </r>
  </si>
  <si>
    <t>梁泳冰</t>
  </si>
  <si>
    <t xml:space="preserve"> CE=1 时，机器人一直处于无效模式，使用 MT3 示教器切换钥匙都没用</t>
  </si>
  <si>
    <t>发现 CE=1 时，机器人一直处于无效模式，使用 MT3 示教器切换钥匙都没用。通过建华和理辉沟通发现是 FPGA 没有将 CE=1 加到 Comm-E 固件导致。</t>
  </si>
  <si>
    <t>#65169</t>
  </si>
  <si>
    <t>目前是建华临时将这个无效模式屏蔽，并改为自动模式使用，更新后可以正常生产测试。但是国华那边反馈保护性停止和安全门无法测试，据了解目前客户暂时不会用到这个，等后面 FPGA 将 CE=1 导入后再测试验证。</t>
  </si>
  <si>
    <t>CZY-260622》新的固件版本预计本周可以lockdown</t>
  </si>
  <si>
    <t>伟达立模组与 HE3 相关问题</t>
  </si>
  <si>
    <t>Bug</t>
  </si>
  <si>
    <r>
      <rPr>
        <color rgb="FF7E7F7F"/>
        <rFont val="等线"/>
        <sz val="10"/>
      </rPr>
      <t xml:space="preserve">毛德明</t>
    </r>
  </si>
  <si>
    <r>
      <rPr>
        <color rgb="FF7E7F7F"/>
        <rFont val="等线"/>
        <sz val="10"/>
      </rPr>
      <t xml:space="preserve">编码器数值跳变</t>
    </r>
  </si>
  <si>
    <t>末端轴几乎每次开机、急停都会跳变，有时候角度会变成3万多，其余轴随机出现，重启有概率恢复。
末端跳变使得末端无法稳定安装线缆或者气管，机器人程序初始化归零会旋转至少360度，将扯断线缆或气管。恢复末端会占用大量时间</t>
  </si>
  <si>
    <t>#65270</t>
  </si>
  <si>
    <t>需要升级模组固件，伟达立新固件预计节后给过来，验证后给弓叶现场升级</t>
  </si>
  <si>
    <r>
      <rPr>
        <color rgb="FF7E7F7F"/>
        <rFont val="等线"/>
        <sz val="10"/>
      </rPr>
      <t xml:space="preserve">CZY-260617》已解决</t>
    </r>
    <r>
      <rPr>
        <color rgb="FF000000"/>
        <rFont val="等线"/>
        <sz val="12"/>
      </rPr>
      <t xml:space="preserve">
</t>
    </r>
    <r>
      <rPr>
        <color rgb="FF7E7F7F"/>
        <rFont val="等线"/>
        <sz val="10"/>
      </rPr>
      <t xml:space="preserve">LZ-260615》目前伟达立已安排研发人员在现场排查，已基本确认为伟达立编码器算法错误导致，深层原因为编码器芯片读取编码器位置时，通过SPI与编码器进行交互，软件通过IDE的优化后，与编码器芯片通信的SPI时序在程序初始化中会有一个系统周期产生错误CLK信号，导致SPI读取到的编码器数据错误，该数据被编码器算法直接使用，从而出现跳变一圈的情况，现针对SPI时序发送出错做了三个方向的改进：1、修改优化等级可以优化掉错误的时序；2、增加编码器位置数据帧格式判定处理，避免错误的编码器数据被拿来处理位置信息；3、在程序内部的虚拟多圈累计逻辑上，系统循环周期为62.5us，跨圈判定机制应当符合实际物理规律（在62.5us内，以电机端为10000rpm作为极限，编码器最多变化55个分辨率单位），因为直接跳变一圈是不合理的参数，通过判定机制来进行修改。目前建华已经编写了一个自动化测试程序，一分钟为一个测试周期，看是否有问题。</t>
    </r>
    <r>
      <rPr>
        <color rgb="FF7E7F7F"/>
        <rFont val="等线"/>
        <sz val="12"/>
      </rPr>
      <t xml:space="preserve">
</t>
    </r>
    <r>
      <rPr>
        <color rgb="FF7E7F7F"/>
        <rFont val="等线"/>
        <sz val="10"/>
      </rPr>
      <t xml:space="preserve">CZY-260612》建华编写自动重启控制器，检查重启前后编码器值是否突变的问题。目前已经复现，伟达立严工还在现场排查中。</t>
    </r>
    <r>
      <rPr>
        <color rgb="FF7E7F7F"/>
        <rFont val="等线"/>
        <sz val="12"/>
      </rPr>
      <t xml:space="preserve">
</t>
    </r>
    <r>
      <rPr>
        <color rgb="FF7E7F7F"/>
        <rFont val="等线"/>
        <sz val="10"/>
      </rPr>
      <t xml:space="preserve">LZ-260608》与伟达立沟通测试该跳变模组的情况，伟达立已测试1000+次未复现，其和QKM唯一的区别就是采用了各自的上位机控制，组织讨论会议，双方认为大概率原因为我们控制器启动时会通过SDO输出给伟达立驱动器数据包，伟达立处理该数据时，其多圈编码运行软件和单圈编码运行软件是两个独立程序，通过程序交互时可能会出现丢包的存在，从而导致读取的参数6064发现跳变，实际上编码器并未跳变，目前分为两步进行：1、QKM按找伟达立提供的最新固件进行测试，若出现跳变情况由伟达立研发到现场来进行确认，2、QKM提供一套控制器给到伟达立进行测试，看是否能复现。</t>
    </r>
    <r>
      <rPr>
        <color rgb="FF7E7F7F"/>
        <rFont val="等线"/>
        <sz val="12"/>
      </rPr>
      <t xml:space="preserve">
</t>
    </r>
    <r>
      <rPr>
        <color rgb="FF7E7F7F"/>
        <rFont val="等线"/>
        <sz val="10"/>
      </rPr>
      <t xml:space="preserve">CZY-260605》J5轴还有跳变发生，目前伟达立严工提供优化固件继续测试
CZY-260602》HE3 断电测试了200次左右，没有再发现模组有断电后编码器位置跳变的现象。</t>
    </r>
    <r>
      <rPr>
        <color rgb="FF7E7F7F"/>
        <rFont val="等线"/>
        <sz val="12"/>
      </rPr>
      <t xml:space="preserve">
</t>
    </r>
    <r>
      <rPr>
        <color rgb="FF7E7F7F"/>
        <rFont val="等线"/>
        <sz val="10"/>
      </rPr>
      <t xml:space="preserve">CZY-260601》重新更换J4轴70模组，待测试验证。</t>
    </r>
    <r>
      <rPr>
        <color rgb="FF7E7F7F"/>
        <rFont val="等线"/>
        <sz val="12"/>
      </rPr>
      <t xml:space="preserve">
</t>
    </r>
    <r>
      <rPr>
        <color rgb="FF7E7F7F"/>
        <rFont val="等线"/>
        <sz val="10"/>
      </rPr>
      <t xml:space="preserve">MDM-260527》今天对新装的1台HE3（使用了升级后的模组）进行断电测试，J4轴（70模组）出现了一次跳变3.57°的跳变。</t>
    </r>
    <r>
      <rPr>
        <color rgb="FF7E7F7F"/>
        <rFont val="等线"/>
        <sz val="12"/>
      </rPr>
      <t xml:space="preserve">
</t>
    </r>
    <r>
      <rPr>
        <color rgb="FF7E7F7F"/>
        <rFont val="等线"/>
        <sz val="10"/>
      </rPr>
      <t xml:space="preserve">CZY-260515》百一那边正在装机，预计下周装配完成开始验证
CZY-20260509》目前仓库还有一套物料，模组是伟达立返厂调试过的，下周开始组装，验证固件升级效果。</t>
    </r>
    <r>
      <rPr>
        <color rgb="FF7E7F7F"/>
        <rFont val="等线"/>
        <sz val="12"/>
      </rPr>
      <t xml:space="preserve">
</t>
    </r>
    <r>
      <rPr>
        <color rgb="FF7E7F7F"/>
        <rFont val="等线"/>
        <sz val="10"/>
      </rPr>
      <t xml:space="preserve">LJH-20260507》德明在现场给伟达立模组升级固件，并且将多圈编码器值修改成单圈进行使用，但是在断电重启之后还是可能会出现角度值变化3度的样子，目前还在排查。</t>
    </r>
  </si>
  <si>
    <r>
      <rPr>
        <color rgb="FF000000"/>
        <rFont val="等线"/>
        <sz val="10"/>
      </rPr>
      <t xml:space="preserve">毛德明</t>
    </r>
  </si>
  <si>
    <t>J3轴运行卡滞报位置误差错误</t>
  </si>
  <si>
    <t>2026-3-12，7轴机器人标记的J3轴昨天跑起来正常，今天跑起来卡,报位置误差过大，上位机连接这个轴，正方向JOG运动卡一下动一下，负方向JOG不动，但能听到模组里面类似旋转的响声，模组还报了持续过载的错误，模组上下使能的声音听起来也正常</t>
  </si>
  <si>
    <t>#64292</t>
  </si>
  <si>
    <t>2026/7/E</t>
  </si>
  <si>
    <t>等待导入自动点胶机
下一步处理对策：
324胶水已取消，换成648胶水强度更强（查询乐泰648胶水连续工作温度在-54~180℃）
结构管控/优化过盈量设计，后续用工装/点胶机替代人工控制，进一步和伟达立杨工对齐，从2026-3-24开始使用人工点胶机</t>
  </si>
  <si>
    <r>
      <rPr>
        <color rgb="FF000000"/>
        <rFont val="等线"/>
        <sz val="10"/>
      </rPr>
      <t xml:space="preserve">CZY-260507》
临时方案：
324胶水已取消，换成648胶水强度更强（查询乐泰648胶水连续工作温度在-54~180℃）
结构管控/优化过盈量设计，后续用工装/点胶机替代人工控制，进一步和伟达立杨工对齐，从2026-3-24开始使用人工点胶机
长期方案：
伟达立7/E导入自动点胶机后解决工艺良率问题
</t>
    </r>
    <r>
      <rPr>
        <color rgb="FF7F7F7F"/>
        <rFont val="等线"/>
        <sz val="10"/>
      </rPr>
      <t xml:space="preserve">XYL-260424》7月份导入自动点胶机的节点没有变化
XYL-260414》需要和伟达立确认下当前改善的进度和设备导入的进度
XYL-260324》伟达立检测分析结论：
324胶水强度不够，拆机后发现胶量不足/不均匀，胶水位置堆积在内部最上方，导致内码盘支架表面60%是空胶现象
下一步处理对策：
324胶水已取消，换成648胶水强度更强（查询乐泰648胶水连续工作温度在-54~180℃）
结构管控/优化过盈量设计，后续用工装/点胶机替代人工控制，进一步和伟达立杨工对齐，从2026-3-24开始使用人工点胶机，预计7月份导入自动化设备，目前设备在定制中。
XYL-260312》需要德明将模组拆下退给伟达立进行检测分析</t>
    </r>
  </si>
  <si>
    <t>临时方案可以满足出货需求</t>
  </si>
  <si>
    <t>控制相关问题</t>
  </si>
  <si>
    <t>弓叶</t>
  </si>
  <si>
    <r>
      <rPr>
        <color rgb="FF7E7F7F"/>
        <rFont val="等线"/>
        <sz val="10"/>
      </rPr>
      <t xml:space="preserve">李建华</t>
    </r>
  </si>
  <si>
    <t>ServoJ PID参数</t>
  </si>
  <si>
    <t>刚度和阻尼均不足，目前需要根据工况不同频繁调整ServoJ调用时的gain值，会频繁出现超调（甚至振幅随时间放大的超调）或者响应速度不足的情况。
由于运动工况不确定，gain值无法微调值合适的固定数值。
超调、欠调可能导致与网络输出耦合，形成震荡。</t>
  </si>
  <si>
    <t>#65271</t>
  </si>
  <si>
    <t>需要优化 EMI 相关功能</t>
  </si>
  <si>
    <r>
      <rPr>
        <color rgb="FF7E7F7F"/>
        <rFont val="等线"/>
        <sz val="10"/>
      </rPr>
      <t xml:space="preserve">LJH-260527》功能已经实现</t>
    </r>
    <r>
      <rPr>
        <color rgb="FF000000"/>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000000"/>
        <rFont val="等线"/>
        <sz val="12"/>
      </rPr>
      <t xml:space="preserve">
</t>
    </r>
    <r>
      <rPr>
        <color rgb="FF7E7F7F"/>
        <rFont val="等线"/>
        <sz val="10"/>
      </rPr>
      <t xml:space="preserve">LJH-260518》修改EMI的功能，验证起始位置和结束位置一样，但是起始速度不为零的轨迹规划功能。将该功能给到弓叶现场，反馈比之前有改善，但是按照发送频率和EMI设置的频率一样进行发送的话，运行过程中还是会出现卡顿，但是相比之前需要按照1.5 倍的发送频率来发送才可以执行的话已经有一些改善。</t>
    </r>
    <r>
      <rPr>
        <color rgb="FF000000"/>
        <rFont val="等线"/>
        <sz val="12"/>
      </rPr>
      <t xml:space="preserve">
</t>
    </r>
    <r>
      <rPr>
        <color rgb="FF7E7F7F"/>
        <rFont val="等线"/>
        <sz val="10"/>
      </rPr>
      <t xml:space="preserve">   从采集的数据来看，设置的控制周期是 16.5（系统采用17)ms，RTOS接收到的时间间隔在17-22ms之间波动，即使有6个缓存，也是很容易消耗完成。</t>
    </r>
    <r>
      <rPr>
        <color rgb="FF000000"/>
        <rFont val="等线"/>
        <sz val="12"/>
      </rPr>
      <t xml:space="preserve">
</t>
    </r>
    <r>
      <rPr>
        <color rgb="FF7E7F7F"/>
        <rFont val="等线"/>
        <sz val="10"/>
      </rPr>
      <t xml:space="preserve">LJH-260515》当前已经修改好一个版本，等待在实际机台上面进行测试验证。</t>
    </r>
    <r>
      <rPr>
        <color rgb="FF000000"/>
        <rFont val="等线"/>
        <sz val="12"/>
      </rPr>
      <t xml:space="preserve">
</t>
    </r>
    <r>
      <rPr>
        <color rgb="FF7E7F7F"/>
        <rFont val="等线"/>
        <sz val="10"/>
      </rPr>
      <t xml:space="preserve">LJH-260507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</si>
  <si>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r>
      <rPr>
        <color rgb="FF7E7F7F"/>
        <rFont val="等线"/>
        <sz val="10"/>
      </rPr>
      <t xml:space="preserve">王超</t>
    </r>
  </si>
  <si>
    <r>
      <rPr>
        <color rgb="FF7E7F7F"/>
        <rFont val="等线"/>
        <sz val="10"/>
      </rPr>
      <t xml:space="preserve">EMI控制下关节超限无反馈</t>
    </r>
  </si>
  <si>
    <t>EMI控制中，由于编码器错误读取等原因导致关节超限，SDK会失去控制权且无错误回报、无法恢复</t>
  </si>
  <si>
    <t>#65272</t>
  </si>
  <si>
    <t>提供报警方式，获取error_code - 这个功能应该是具备的</t>
  </si>
  <si>
    <t>WC-260507》如果解决了编码器跳变问题, 此问题可以视为已解决, 在运动或者 EMI 控制过程中如果出现关节超限, 会有报警通过 EMI 回调上报</t>
  </si>
  <si>
    <t>ServoJ超调导致关节角超限</t>
  </si>
  <si>
    <t>需主动在安全范围内执行ServoJ指令。</t>
  </si>
  <si>
    <t>#65273</t>
  </si>
  <si>
    <t>临时措施：客户端把发点位的限制值再缩小，远离限位，比如限位是80，可以已设置为75，如复现问题也可反馈日志给李群人员排查原因。——2026/5/9
最终措施：EMI使用问题本质上是因为网络不稳定，要解决的网络问题，需和客户双方进行配合，建议客户端打实时补丁，然后再观测一下效果，如还有问题，李群人员配合再排查原因。因需要双方长期的沟通合作，因此该完成时间较靠后。——2026/6/30</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</si>
  <si>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但是出现SDK崩溃的问题，Windows上面不会出现，我配置成4轴和7轴也是正常的。目前还在排查中。</t>
    </r>
    <r>
      <rPr>
        <color rgb="FF7E7F7F"/>
        <rFont val="等线"/>
        <sz val="12"/>
      </rPr>
      <t xml:space="preserve">
</t>
    </r>
    <r>
      <rPr>
        <color rgb="FF7E7F7F"/>
        <rFont val="等线"/>
        <sz val="10"/>
      </rPr>
      <t xml:space="preserve">LJH-20260515》当前已经修改好一个版本，等待在实际机台上面进行测试验证。</t>
    </r>
    <r>
      <rPr>
        <color rgb="FF7E7F7F"/>
        <rFont val="等线"/>
        <sz val="12"/>
      </rPr>
      <t xml:space="preserve">
</t>
    </r>
    <r>
      <rPr>
        <color rgb="FF7E7F7F"/>
        <rFont val="等线"/>
        <sz val="10"/>
      </rPr>
      <t xml:space="preserve">LJH-20260507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</si>
  <si>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r>
      <rPr>
        <color rgb="FF000000"/>
        <rFont val="等线"/>
        <sz val="10"/>
      </rPr>
      <t xml:space="preserve">李建华</t>
    </r>
  </si>
  <si>
    <t>ServoJ的速度、加速度限制</t>
  </si>
  <si>
    <t>ServoJ接口需支持速度、加速度限制。给出过远的数据点不应导致过调引起关节不受控震荡。</t>
  </si>
  <si>
    <t>#65274</t>
  </si>
  <si>
    <t>增加加速度限制接口。因目前人员工作安排原因，暂时没有人力立刻投入，预计在5.24号之后可以有人力投入该功能开发。</t>
  </si>
  <si>
    <t>LJH-260527》功能已经实现。
LJH-260521》今天修改完成之后会重新给一个版本给到弓叶现场进行测试验证。新修改的版本就不需要这个速度和加速度限制参数了。
LJH-20260515》当前已经修改好一个版本，等待在实际机台上面进行测试验证。
LJH-20260507》还没有增加该限制接口。</t>
  </si>
  <si>
    <t>非本次交付必需解决问题</t>
  </si>
  <si>
    <t>王超</t>
  </si>
  <si>
    <t>Please Attach Robot ID Correctly</t>
  </si>
  <si>
    <t>重连有概率恢复，无法恢复的情况下只能重启整机</t>
  </si>
  <si>
    <t>#65275</t>
  </si>
  <si>
    <t>远程升级固件</t>
  </si>
  <si>
    <t>WC-20260507》进行中</t>
  </si>
  <si>
    <t>李建华</t>
  </si>
  <si>
    <t>QRTOS Not Ready尝试等待后一直无法进入Ready</t>
  </si>
  <si>
    <t>出现后只能重启恢复</t>
  </si>
  <si>
    <t>#65276</t>
  </si>
  <si>
    <t>未开始</t>
  </si>
  <si>
    <t>临时措施：将继电器板修改为拍急停后不关闭48V
最终措施：该问题的根本原因是由于拍急停后关节模组会断48V电，急停抬起后会重新进行EtherCAT初始化，在初始化过程中出问题导致系统无法ready，李群会安排人员进行相关逻辑的排查</t>
  </si>
  <si>
    <t>MDM-260509》我们V1.8版本以前继电器板是按急停只会下使能，不会断本体的DC48V电源输入；我们V1.8以后的版本继电器板（为满足安规要求，按下急停必须要断本体电源），按急停除了会下使能外，还会断掉我们本体DC48V电源输入，今天会议上讨论结果是硬件修改行不通，只能建华（运控）通过软件系统设置去修改。
我们目前V1.8版本以后的继电器板不能满足客户按急停后只下使能，不断本体DC48V电源输入的要求。需要运控组评估是否需要更改继电器板的硬件设计。或者修改软件控制逻辑。</t>
  </si>
  <si>
    <r>
      <rPr>
        <color rgb="FFA4A5A5"/>
        <rFont val="等线"/>
        <sz val="10"/>
      </rPr>
      <t xml:space="preserve">任友强</t>
    </r>
  </si>
  <si>
    <t>双臂SDK日志混淆</t>
  </si>
  <si>
    <t>双臂的日志目前只能写入同一文件，无法区分各自日志和报错。
建议根据机器人设置log文件，或在log中增加机器人标识符（如IP等）用以区分。</t>
  </si>
  <si>
    <t>#65278</t>
  </si>
  <si>
    <t>考虑拆分或添加关键信息</t>
  </si>
  <si>
    <t>RYQ-260507》在日志中信息中添加 controller_1 和 controller_2... 字段进行区分，目前已完开发和测试。</t>
  </si>
  <si>
    <t>URDF、DH和机器人回报TCP不一致</t>
  </si>
  <si>
    <t>12cm误差，需要给出基座和机器人原点之间的具体设计尺寸关系。最后使得DH与URDF基座坐标系对齐</t>
  </si>
  <si>
    <t>#65279</t>
  </si>
  <si>
    <t>DH对齐URDF基座坐标系</t>
  </si>
  <si>
    <r>
      <rPr>
        <color rgb="FF7E7F7F"/>
        <rFont val="等线"/>
        <sz val="10"/>
      </rPr>
      <t xml:space="preserve">LJH-260709》该问题已经解决，现在主要是在执行笛卡尔位置的时候无法保持住构型，这个后续需要加入构型保持的功能。</t>
    </r>
    <r>
      <t xml:space="preserve">
</t>
    </r>
    <r>
      <rPr>
        <color rgb="FF7E7F7F"/>
        <rFont val="等线"/>
        <sz val="10"/>
      </rPr>
      <t xml:space="preserve">LJH-260521》暂无进度</t>
    </r>
    <r>
      <rPr>
        <color rgb="FF7E7F7F"/>
        <rFont val="等线"/>
        <sz val="12"/>
      </rPr>
      <t xml:space="preserve">
</t>
    </r>
    <r>
      <rPr>
        <color rgb="FF7E7F7F"/>
        <rFont val="等线"/>
        <sz val="10"/>
      </rPr>
      <t xml:space="preserve">LJH-260507》还在查看URDF模型。</t>
    </r>
  </si>
  <si>
    <t>ServoJ随机规划减速</t>
  </si>
  <si>
    <t>已根据建议设置1.8倍servo_dt，经测试指令间隔严格小于该值时仍会出现随机抖动。规划减速时应能及时响应新ServoJ点位，防止出现控制顿挫。python3.10版本驱动</t>
  </si>
  <si>
    <t>#65280</t>
  </si>
  <si>
    <t>发送日志，分析日志</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</si>
  <si>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7E7F7F"/>
        <rFont val="等线"/>
        <sz val="12"/>
      </rPr>
      <t xml:space="preserve">
</t>
    </r>
    <r>
      <rPr>
        <color rgb="FF7E7F7F"/>
        <rFont val="等线"/>
        <sz val="10"/>
      </rPr>
      <t xml:space="preserve">LJH-260515》当前已经修改好一个版本，等待在实际机台上面进行测试验证。</t>
    </r>
    <r>
      <rPr>
        <color rgb="FF7E7F7F"/>
        <rFont val="等线"/>
        <sz val="12"/>
      </rPr>
      <t xml:space="preserve">
</t>
    </r>
    <r>
      <rPr>
        <color rgb="FF7E7F7F"/>
        <rFont val="等线"/>
        <sz val="10"/>
      </rPr>
      <t xml:space="preserve">LJH-260507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</si>
  <si>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t>MoveL、MoveJ无法使用笛卡尔位姿</t>
  </si>
  <si>
    <t>Error -5305 无效的笛卡尔位置，  MoveL和MoveJ均有该问题</t>
  </si>
  <si>
    <t>#65281</t>
  </si>
  <si>
    <t>因为当前采用数值解的形式，对机器人的当前位置很敏感。目前有三种思路：
1、继续优化当前的数值解形式；
2、将该机器人简化成一个6轴的形式，先求解6轴的解析解，然后用这个6轴的解析解作为初始解取进行迭代计算7轴逆解；
3、重新利用臂型角方式推导完整的7轴解析解。</t>
  </si>
  <si>
    <t>LJH-260709》该问题已经解决，现在主要是在执行笛卡尔位置的时候无法保持住构型，这个后续需要加入构型保持的功能。
LJH-260615》经过排查之后发现笛卡尔位姿是准确的，但是关节角度因为迭代的关系会也越来越偏。后面需要在迭代算法中进行优化限制其构型的变化，暂时没有时间来进行处理。
LJH-260603》取消在接收到一个新的点位的时候检测是否可达，德明验证轨迹点位可以正常执行，但是随着执行的的次数越来越多，整体轨迹的偏差会越来越大，目前还在查看这部分。
LJH-260507》还在仿真验证中。</t>
  </si>
  <si>
    <t>ServoJ前瞻时间和指令缓存</t>
  </si>
  <si>
    <t>在前瞻时间内，ServoJ的新点位不应覆盖旧点位。
超出前瞻时间的点才需规划减速。</t>
  </si>
  <si>
    <t>#65282</t>
  </si>
  <si>
    <t>SDK提供接口允许设置指令容限，可按照匀速规划若干个指令周期等待指令，随后再规划减速</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</si>
  <si>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7E7F7F"/>
        <rFont val="等线"/>
        <sz val="12"/>
      </rPr>
      <t xml:space="preserve">
</t>
    </r>
    <r>
      <rPr>
        <color rgb="FF7E7F7F"/>
        <rFont val="等线"/>
        <sz val="10"/>
      </rPr>
      <t xml:space="preserve">LJH-260515》当前已经修改好一个版本，等待在实际机台上面进行测试验证。</t>
    </r>
    <r>
      <rPr>
        <color rgb="FF7E7F7F"/>
        <rFont val="等线"/>
        <sz val="12"/>
      </rPr>
      <t xml:space="preserve">
</t>
    </r>
    <r>
      <rPr>
        <color rgb="FF7E7F7F"/>
        <rFont val="等线"/>
        <sz val="10"/>
      </rPr>
      <t xml:space="preserve">LJH-260509》暂无进度</t>
    </r>
  </si>
  <si>
    <t>示教器快捷点位输入控制</t>
  </si>
  <si>
    <t>示教器需要写入点位通过编程控制MoveL，MoveJ；需求能够快速通过输入点位直接控制运动</t>
  </si>
  <si>
    <t>#65283</t>
  </si>
  <si>
    <t>提供控制方式-可以通过ARM的QLV文件编辑实现</t>
  </si>
  <si>
    <t>动力学建模参数</t>
  </si>
  <si>
    <t>#65284</t>
  </si>
  <si>
    <t>1、后续采用全动力学参数辨识的形式来进行动力学建模，以及实现对应的免驱、力控功能。</t>
  </si>
  <si>
    <t>LJH-260509》暂无进度</t>
  </si>
  <si>
    <t>机器人状态读数双机同步</t>
  </si>
  <si>
    <t>多个机器人的LocationJ、VelJ、AccJ等状态回报需硬件同步或软件同步</t>
  </si>
  <si>
    <t>#65285</t>
  </si>
  <si>
    <t>这个功能需要控制器、API、ARM一起进行修改，然后进行同步联调进行实现。</t>
  </si>
  <si>
    <t>示教器无法释放控制权</t>
  </si>
  <si>
    <t>将身份改为“监视员”仍然会占用控制权。</t>
  </si>
  <si>
    <t>#65286</t>
  </si>
  <si>
    <t>登录监视员时释放权限</t>
  </si>
  <si>
    <t>WC-20260507》已完成, 在断开连接或者切换到管理员权限后释放控制权</t>
  </si>
  <si>
    <t>任友强</t>
  </si>
  <si>
    <t>多台设备同时访问机器人数据</t>
  </si>
  <si>
    <t>已收到建议：使用Hidden Channel获取机器人数据。测试结果：与接入顺序有关，需要先连接状态获取，再连接控制，错误顺序会导致权限问题。能够连接获取，会出现奇怪报文反馈。？可以通过type过滤？</t>
  </si>
  <si>
    <t>#65287</t>
  </si>
  <si>
    <t>第三台样机装配问题（生产）</t>
  </si>
  <si>
    <t>设计</t>
  </si>
  <si>
    <t>吕金川</t>
  </si>
  <si>
    <t>J2模组无额外螺柱和扎线钣金孔位。</t>
  </si>
  <si>
    <t>模组（料号：1-085-000114 RB200-G7014-R1030-100DJM2E,伟达立）布线和安装二轴密封端盖时，须拆下模组本身后端盖用于安装螺柱与扎线钣金。</t>
  </si>
  <si>
    <t>NA</t>
  </si>
  <si>
    <t>需研发评估当前拆卸模组本身后端盖螺钉方式是否符合要求或设计额外用于安装螺柱与扎线钣金孔位。</t>
  </si>
  <si>
    <t>CZY-260515》已要求供应商按照要求打孔，二轴端盖改成螺纹固定
LJC-260515》拆卸当前模组后端盖螺钉用于安装螺柱与扎线钣金孔位。</t>
  </si>
  <si>
    <t>操作</t>
  </si>
  <si>
    <t>安装O型圈时，存在掉落风险。</t>
  </si>
  <si>
    <t>将O型圈放置工件凹槽时，O型圈随意移动。</t>
  </si>
  <si>
    <t>用润滑脂粘住，固定到工件O型圈凹槽。</t>
  </si>
  <si>
    <t>LJC-260515》使用润滑脂固定。</t>
  </si>
  <si>
    <t>安装J2模组，使用螺钉规格与3D图不符。</t>
  </si>
  <si>
    <t>按3D图，要求使用M3*30内六角圆柱头螺钉，但实际螺钉过短，锁不上，另外尝试使用M3*35和M3*40规格，发现使用M3*35规格螺钉锁紧时，大概锁紧3个螺牙，使用使用M3*40规格螺钉锁紧时，则螺钉过长。</t>
  </si>
  <si>
    <t>评估设计机加件，适配合适螺钉规格。</t>
  </si>
  <si>
    <t>CZY-260515》已重新采购用M3*38规格螺丝</t>
  </si>
  <si>
    <t>安装护线环无适用螺钉</t>
  </si>
  <si>
    <t>安装护线环时，无适用螺钉，当前库存M2*6十字沉头螺钉，大概锁上2个螺牙。</t>
  </si>
  <si>
    <t>当前使用库存M2*6十字沉头螺钉</t>
  </si>
  <si>
    <r>
      <rPr>
        <color rgb="FF7F7F7F"/>
        <rFont val="等线"/>
        <sz val="11"/>
      </rPr>
      <t xml:space="preserve">CZY-260515》已重新采购用M2*6规格平头螺丝（</t>
    </r>
    <r>
      <rPr>
        <color rgb="FFFE0300"/>
        <rFont val="等线"/>
        <sz val="11"/>
      </rPr>
      <t xml:space="preserve">建议使用M2+6十字沉头螺钉，理由是螺钉孔是一个斜面</t>
    </r>
    <r>
      <rPr>
        <color rgb="FF7F7F7F"/>
        <rFont val="等线"/>
        <sz val="11"/>
      </rPr>
      <t xml:space="preserve">）</t>
    </r>
  </si>
  <si>
    <t>三轴大臂O型圈槽壁损坏。</t>
  </si>
  <si>
    <t>三轴大臂O型圈槽壁较薄，出现崩边，漏出O型圈。</t>
  </si>
  <si>
    <t>需研发确认评估</t>
  </si>
  <si>
    <t>CZY-260515》已重新修改图纸</t>
  </si>
  <si>
    <t>二轴外壳与三轴大臂装配，螺钉沉孔过深，导致使用M3*30规格螺钉锁不紧。</t>
  </si>
  <si>
    <t>关节沉孔较深，螺钉锁不紧，临时增加弹垫垫高沉孔。</t>
  </si>
  <si>
    <t>增加弹垫。</t>
  </si>
  <si>
    <t>CZY-260515》已修改沉头深度</t>
  </si>
  <si>
    <t>六轴外壳与模组安装孔位有差异。</t>
  </si>
  <si>
    <t>加工件来料孔位与模组输出断电安装孔位对不上</t>
  </si>
  <si>
    <t>需研发确认并修改六轴外壳图纸</t>
  </si>
  <si>
    <t>物料</t>
  </si>
  <si>
    <t>J6模组安装M2.5*10螺钉无库存，有料号（1-079-001903）。</t>
  </si>
  <si>
    <t>M2.5*10螺钉无库存，有料号（1-079-001903）。</t>
  </si>
  <si>
    <t>须加到BOM清单，让采购购买。</t>
  </si>
  <si>
    <t>CZY-260515》已重新采购用M2.5*10规格平头螺丝</t>
  </si>
  <si>
    <t>拆装J3模组扎线钣金和护线环不便。</t>
  </si>
  <si>
    <t>J3模组安装至三轴大臂后，拆装扎线钣金和护线环不便。</t>
  </si>
  <si>
    <t>CZY-260515》增加了固线座可以不用安装钣金</t>
  </si>
  <si>
    <t>来料</t>
  </si>
  <si>
    <t>使用伟达立上位机通讯连接模组后，上位机界面右上角处直接提示报警“当前设备有故障”。</t>
  </si>
  <si>
    <t>与伟达立沟通，问题原因是编码器类型参数不对，需要将正常使用多圈改为多圈当做单圈（与是否接编码器电池有关）。</t>
  </si>
  <si>
    <t>单模组控制运行前，临时设置编码器类型参数。</t>
  </si>
  <si>
    <t>LJC-260520》已重新设置编码器类型参数，验证模组正常。</t>
  </si>
  <si>
    <t>RS485通讯问题</t>
  </si>
  <si>
    <t>用伟达立软件连不上模组，尝试换电脑、检查接线定义、更换模组等均未解决问题。</t>
  </si>
  <si>
    <t>更换使用其他USB转485通讯线。</t>
  </si>
  <si>
    <t>LJC-260520》已重新购买其他品牌USB转485通讯线。</t>
  </si>
  <si>
    <t>毛德明</t>
  </si>
  <si>
    <t>J1模组异常</t>
  </si>
  <si>
    <t>J1的80模组异常：通电后模组指示灯不亮，EtherCAT和485能正常连接，但“Er.830编码器欠压“报警无法清掉</t>
  </si>
  <si>
    <t>已更换J1轴80模组。</t>
  </si>
  <si>
    <t>MDM-260526》此模组为旧版本缺少信号灯
MDM-260525》已将问题反馈给伟达立</t>
  </si>
  <si>
    <t>模组缺少接口丝印</t>
  </si>
  <si>
    <t>有些伟达立模组接口缺少丝印，力矩传感器接口和EthCAT通讯接口形态结构相同且挨的很近容易搞混，一旦插混容易烧坏下一个模组的驱动器板</t>
  </si>
  <si>
    <t>要求伟达立添加丝印。</t>
  </si>
  <si>
    <t>MDM-260525》已将问题反馈给伟达立</t>
  </si>
  <si>
    <r>
      <rPr>
        <color rgb="FF000000"/>
        <rFont val="宋体"/>
        <sz val="11"/>
      </rPr>
      <t xml:space="preserve">风险记录</t>
    </r>
    <r>
      <rPr>
        <color rgb="FF000000"/>
        <rFont val="Helvetica Neue"/>
        <sz val="11"/>
      </rPr>
      <t xml:space="preserve">&amp;</t>
    </r>
    <r>
      <rPr>
        <color rgb="FF000000"/>
        <rFont val="宋体"/>
        <sz val="11"/>
      </rPr>
      <t xml:space="preserve">重大变更决议</t>
    </r>
    <r>
      <rPr>
        <color rgb="FF000000"/>
        <rFont val="Helvetica Neue"/>
        <sz val="11"/>
      </rPr>
      <t xml:space="preserve">-</t>
    </r>
    <r>
      <rPr>
        <color rgb="FF000000"/>
        <rFont val="宋体"/>
        <sz val="11"/>
      </rPr>
      <t xml:space="preserve">【</t>
    </r>
    <r>
      <rPr>
        <color rgb="FF000000"/>
        <rFont val="Helvetica Neue"/>
        <sz val="11"/>
      </rPr>
      <t xml:space="preserve">HE3-</t>
    </r>
    <r>
      <rPr>
        <color rgb="FF000000"/>
        <rFont val="宋体"/>
        <sz val="11"/>
      </rPr>
      <t xml:space="preserve">弓叶项目】</t>
    </r>
  </si>
  <si>
    <r>
      <rPr>
        <color rgb="FF000000"/>
        <rFont val="宋体"/>
        <sz val="11"/>
      </rPr>
      <t xml:space="preserve">更新人员/日期：陈真宇，2026/7/</t>
    </r>
    <r>
      <rPr>
        <i/>
        <color rgb="FF000000"/>
        <rFont val="宋体"/>
        <sz val="11"/>
      </rPr>
      <t xml:space="preserve">9</t>
    </r>
  </si>
  <si>
    <r>
      <rPr>
        <color rgb="FF000000"/>
        <rFont val="宋体"/>
        <sz val="11"/>
      </rPr>
      <t xml:space="preserve">审核人员/日期：曹小贝，2026/7/</t>
    </r>
    <r>
      <rPr>
        <i/>
        <color rgb="FF000000"/>
        <rFont val="宋体"/>
        <sz val="11"/>
      </rPr>
      <t xml:space="preserve">9</t>
    </r>
  </si>
  <si>
    <t>本文档记录HE3-弓叶项目开发过程以及商务目标遇到的所有风险问题，以及项目重大变更决议。</t>
  </si>
  <si>
    <t>风险记录</t>
  </si>
  <si>
    <t>序号</t>
  </si>
  <si>
    <t>记录时间</t>
  </si>
  <si>
    <t>记录人员</t>
  </si>
  <si>
    <t>风险内容</t>
  </si>
  <si>
    <t>相关Redmine号</t>
  </si>
  <si>
    <t>当前进度</t>
  </si>
  <si>
    <t>核心部件交期时间过长</t>
  </si>
  <si>
    <t>立即向供应商下发基于当前BOM的采购订单。每日跟踪模组（伟达立）生产进度。</t>
  </si>
  <si>
    <r>
      <rPr>
        <color rgb="FF7E7F7F"/>
        <rFont val="Songti SC Regular"/>
        <sz val="11"/>
      </rPr>
      <t xml:space="preserve">CZY-260527》本体线缆交期6/12，电控柜线缆交期6/12（6/12保证八台线缆交付，6/23补齐剩余线缆）</t>
    </r>
    <r>
      <rPr>
        <color rgb="FF7E7F7F"/>
        <rFont val="等线"/>
        <sz val="12"/>
      </rPr>
      <t xml:space="preserve">
</t>
    </r>
    <r>
      <rPr>
        <color rgb="FF7E7F7F"/>
        <rFont val="Songti SC Regular"/>
        <sz val="11"/>
      </rPr>
      <t xml:space="preserve">CZY-260522》本体线缆交期6/12，电控柜线缆5/21供应商报价，待确认材料后回复，预计3周，在持续协调</t>
    </r>
    <r>
      <rPr>
        <color rgb="FF7E7F7F"/>
        <rFont val="等线"/>
        <sz val="12"/>
      </rPr>
      <t xml:space="preserve">
</t>
    </r>
    <r>
      <rPr>
        <color rgb="FF7E7F7F"/>
        <rFont val="Songti SC Regular"/>
        <sz val="11"/>
      </rPr>
      <t xml:space="preserve">CZY-260521</t>
    </r>
    <r>
      <rPr>
        <color rgb="FF7E7F7F"/>
        <rFont val="宋体"/>
        <sz val="11"/>
      </rPr>
      <t xml:space="preserve">》目前模组交期在预期内，机加件交期</t>
    </r>
    <r>
      <rPr>
        <color rgb="FF7E7F7F"/>
        <rFont val="Songti SC Regular"/>
        <sz val="11"/>
      </rPr>
      <t xml:space="preserve">6/10</t>
    </r>
    <r>
      <rPr>
        <color rgb="FF7E7F7F"/>
        <rFont val="宋体"/>
        <sz val="11"/>
      </rPr>
      <t xml:space="preserve">号，本体线缆和电控柜线缆交期</t>
    </r>
    <r>
      <rPr>
        <color rgb="FF7E7F7F"/>
        <rFont val="Songti SC Regular"/>
        <sz val="11"/>
      </rPr>
      <t xml:space="preserve">3-4</t>
    </r>
    <r>
      <rPr>
        <color rgb="FF7E7F7F"/>
        <rFont val="宋体"/>
        <sz val="11"/>
      </rPr>
      <t xml:space="preserve">周有超时风险，正在持续协调。</t>
    </r>
    <r>
      <rPr>
        <color rgb="FF7E7F7F"/>
        <rFont val="Songti SC Regular"/>
        <sz val="11"/>
      </rPr>
      <t xml:space="preserve">
CZY-260509</t>
    </r>
    <r>
      <rPr>
        <color rgb="FF7E7F7F"/>
        <rFont val="宋体"/>
        <sz val="11"/>
      </rPr>
      <t xml:space="preserve">》和文容沟通，伟达立那边</t>
    </r>
    <r>
      <rPr>
        <color rgb="FF7E7F7F"/>
        <rFont val="Songti SC Regular"/>
        <sz val="11"/>
      </rPr>
      <t xml:space="preserve">52</t>
    </r>
    <r>
      <rPr>
        <color rgb="FF7E7F7F"/>
        <rFont val="宋体"/>
        <sz val="11"/>
      </rPr>
      <t xml:space="preserve">模组和</t>
    </r>
    <r>
      <rPr>
        <color rgb="FF7E7F7F"/>
        <rFont val="Songti SC Regular"/>
        <sz val="11"/>
      </rPr>
      <t xml:space="preserve">70</t>
    </r>
    <r>
      <rPr>
        <color rgb="FF7E7F7F"/>
        <rFont val="宋体"/>
        <sz val="11"/>
      </rPr>
      <t xml:space="preserve">模组有短款的库存，性能一致，长度有区别。加急的话五月底应该可以到位。</t>
    </r>
    <r>
      <rPr>
        <color rgb="FF7E7F7F"/>
        <rFont val="等线"/>
        <sz val="12"/>
      </rPr>
      <t xml:space="preserve">
</t>
    </r>
    <r>
      <rPr>
        <color rgb="FF7E7F7F"/>
        <rFont val="Songti SC Regular"/>
        <sz val="11"/>
      </rPr>
      <t xml:space="preserve">CZY-260506</t>
    </r>
    <r>
      <rPr>
        <color rgb="FF7E7F7F"/>
        <rFont val="宋体"/>
        <sz val="11"/>
      </rPr>
      <t xml:space="preserve">》已向供应商询问交期，机械臂本体加工件交期在</t>
    </r>
    <r>
      <rPr>
        <color rgb="FF7E7F7F"/>
        <rFont val="Songti SC Regular"/>
        <sz val="11"/>
      </rPr>
      <t xml:space="preserve">25</t>
    </r>
    <r>
      <rPr>
        <color rgb="FF7E7F7F"/>
        <rFont val="宋体"/>
        <sz val="11"/>
      </rPr>
      <t xml:space="preserve">天左右，电控柜电气元件交期在</t>
    </r>
    <r>
      <rPr>
        <color rgb="FF7E7F7F"/>
        <rFont val="Songti SC Regular"/>
        <sz val="11"/>
      </rPr>
      <t xml:space="preserve">4</t>
    </r>
    <r>
      <rPr>
        <color rgb="FF7E7F7F"/>
        <rFont val="宋体"/>
        <sz val="11"/>
      </rPr>
      <t xml:space="preserve">周左右，伟达立模组交期</t>
    </r>
    <r>
      <rPr>
        <color rgb="FF7E7F7F"/>
        <rFont val="Songti SC Regular"/>
        <sz val="11"/>
      </rPr>
      <t xml:space="preserve">45</t>
    </r>
    <r>
      <rPr>
        <color rgb="FF7E7F7F"/>
        <rFont val="宋体"/>
        <sz val="11"/>
      </rPr>
      <t xml:space="preserve">天</t>
    </r>
  </si>
  <si>
    <t>MS6电控柜尚未导入成品生产</t>
  </si>
  <si>
    <t>目前MS6线缆尚有10套库存，可直接拿来改制使用</t>
  </si>
  <si>
    <t>已解决
CZY-260519》MS6 电控柜已导入生产，此风险解除。
CZY-260509》Comm-E I/O定义与分布正在重新进行I/O映射调整，BOM正在完善，预计今天完成定案</t>
  </si>
  <si>
    <t>电控柜外观与布线非最优，仅满足通讯和机械臂调试功能</t>
  </si>
  <si>
    <t>伟达立模组工艺问题存在良率波动</t>
  </si>
  <si>
    <t>对所有到货及已装机模组，强制升级为伟达立提供的新固件（毛德明已验证）。建立《模组固件升级台账》，记录每个模组序列号、固件版本、装机设备号。并准备少量备品模组</t>
  </si>
  <si>
    <t>CZY-260507》
临时方案：
324胶水已取消，换成648胶水强度更强（查询乐泰648胶水连续工作温度在-54~180℃）
结构管控/优化过盈量设计，后续用工装/点胶机替代人工控制，进一步和伟达立杨工对齐，从2026-3-24开始使用人工点胶机
长期方案：
伟达立7/E导入自动点胶机后解决工艺良率问题</t>
  </si>
  <si>
    <t>必须确保交付前解决的最高优先级问题（见下文Issues清单）。
影响客户验收，增加售后成本</t>
  </si>
  <si>
    <t>紧急采购、小批量生产等将导致物料成本大幅上升。设计优化期间的打样、返工也会增加费用。</t>
  </si>
  <si>
    <t>商务负责人基于新的成本，立即与弓叶沟通，以“紧急定制、小批量、高保障”为由，协商价格调整或支付条件。</t>
  </si>
  <si>
    <t>CZY-260507》需同步启动成本重估，并与商务沟通定价调整。</t>
  </si>
  <si>
    <t>缺少EMC摸底测试</t>
  </si>
  <si>
    <t>第一批交付暂时不进行EMC摸底测试，后续由总部的样机继续完成测试</t>
  </si>
  <si>
    <t>CZY-260507》暂无进展。</t>
  </si>
  <si>
    <t xml:space="preserve">可能存在电磁干扰问题，影响现场运行 </t>
  </si>
  <si>
    <t>缺少整机寿命测试和线缆寿命测试</t>
  </si>
  <si>
    <t>安排1台样机进行 72小时不间断满载循环测试，替代常规寿命测试。</t>
  </si>
  <si>
    <t>CZY-260507》研发 HE3 机台已在持续运行中，目前只能做关节运动，无法跑笛卡尔，精度等测试无法进行，先进行寿命测试。</t>
  </si>
  <si>
    <t>增加维护成本</t>
  </si>
  <si>
    <t>供应商的产能、良率波动，可能导致部分物料无法按期到齐。</t>
  </si>
  <si>
    <t>采购对长交期通用件（如轴承、电缆、接插件）立即寻找第二货源或市场现货渠道，获取报价和现货数量。</t>
  </si>
  <si>
    <r>
      <rPr>
        <color rgb="FF000000"/>
        <rFont val="Songti SC Regular"/>
        <sz val="11"/>
      </rPr>
      <t xml:space="preserve">CZY-260521</t>
    </r>
    <r>
      <rPr>
        <color rgb="FF000000"/>
        <rFont val="宋体"/>
        <sz val="11"/>
      </rPr>
      <t xml:space="preserve">》电控柜线缆交期</t>
    </r>
    <r>
      <rPr>
        <color rgb="FF000000"/>
        <rFont val="Songti SC Regular"/>
        <sz val="11"/>
      </rPr>
      <t xml:space="preserve">3-4</t>
    </r>
    <r>
      <rPr>
        <color rgb="FF000000"/>
        <rFont val="宋体"/>
        <sz val="11"/>
      </rPr>
      <t xml:space="preserve">周有超时风险，正在寻找现货替代。</t>
    </r>
    <r>
      <rPr>
        <color rgb="FF000000"/>
        <rFont val="等线"/>
        <sz val="12"/>
      </rPr>
      <t xml:space="preserve">
</t>
    </r>
    <r>
      <rPr>
        <color rgb="FF7F7F7F"/>
        <rFont val="Songti SC Regular"/>
        <sz val="11"/>
      </rPr>
      <t xml:space="preserve">CZY-260507</t>
    </r>
    <r>
      <rPr>
        <color rgb="FF7F7F7F"/>
        <rFont val="宋体"/>
        <sz val="11"/>
      </rPr>
      <t xml:space="preserve">》暂无进展。</t>
    </r>
  </si>
  <si>
    <t>制定备选供应商方案，对于通用电气件，可先市场调货。</t>
  </si>
  <si>
    <t>版本维护问题与硬件兼容</t>
  </si>
  <si>
    <t>在图纸和BOM中明确此电控柜和机械臂为“HE3-弓叶定制版V1.0”，与后续标准品区分，便于后续维护。</t>
  </si>
  <si>
    <r>
      <rPr>
        <color rgb="FF7E7F7F"/>
        <rFont val="Songti SC Regular"/>
        <sz val="11"/>
      </rPr>
      <t xml:space="preserve">CZY-260527》已通过规格区分正式版本和弓叶定制版本，正式版本会发布BOM，弓叶定制采用临时BOM</t>
    </r>
    <r>
      <rPr>
        <color rgb="FF7E7F7F"/>
        <rFont val="等线"/>
        <sz val="12"/>
      </rPr>
      <t xml:space="preserve">
</t>
    </r>
    <r>
      <rPr>
        <color rgb="FF7E7F7F"/>
        <rFont val="Songti SC Regular"/>
        <sz val="11"/>
      </rPr>
      <t xml:space="preserve">CZY-260507》图纸正在设计中，做区分处理，设定不同的料号和图号。</t>
    </r>
  </si>
  <si>
    <t>目前的机械臂本体和电控柜都为弓叶定制款，存在后续维护和兼容问题</t>
  </si>
  <si>
    <t>技术问题爆发风险</t>
  </si>
  <si>
    <t>确列出本次交付未进行的测试项目，并约定如在半年质保期内出现相关故障的响应机制。</t>
  </si>
  <si>
    <t>CZY-260507》待商务与弓叶进一步沟通。</t>
  </si>
  <si>
    <t>交付前未能彻底解决的软件/硬件问题，在客户生产环境中被触发，导致客户生产线停线。“编码器跳变”和“ServoJ控制不稳定”是其中最高危项。</t>
  </si>
  <si>
    <t>生产导入与装配风险</t>
  </si>
  <si>
    <t>PIE尽早介入设计评审。</t>
  </si>
  <si>
    <t>CZY-260507》已通知 PIE 项目目前状况，他们提出了一些资料需求，正在整理。</t>
  </si>
  <si>
    <t>紧急优化的设计可能存在未发现的工艺或装配难点，PIE部门的生产导入评审时间被压缩，可能导致量产时装配效率低、一致性差。</t>
  </si>
  <si>
    <t>缺少防水耐腐蚀测试</t>
  </si>
  <si>
    <t>借鉴在 TH6 和 TH20 上的经验，增加 O 型圈并涂抹密封胶，先满足出货，同步在家里自测防水性能。</t>
  </si>
  <si>
    <t>CZY-260507》正在进行结构设计，借鉴 TH6 和 TH20 经验。</t>
  </si>
  <si>
    <t>COMM-E库存告急</t>
  </si>
  <si>
    <t>立即备货</t>
  </si>
  <si>
    <r>
      <rPr>
        <color rgb="FF7F7F7F"/>
        <rFont val="Songti SC Regular"/>
        <sz val="11"/>
      </rPr>
      <t xml:space="preserve">CZY-260521</t>
    </r>
    <r>
      <rPr>
        <color rgb="FF7F7F7F"/>
        <rFont val="宋体"/>
        <sz val="11"/>
      </rPr>
      <t xml:space="preserve">》</t>
    </r>
    <r>
      <rPr>
        <color rgb="FF7F7F7F"/>
        <rFont val="Songti SC Regular"/>
        <sz val="11"/>
      </rPr>
      <t xml:space="preserve">COMM-E</t>
    </r>
    <r>
      <rPr>
        <color rgb="FF7F7F7F"/>
        <rFont val="宋体"/>
        <sz val="11"/>
      </rPr>
      <t xml:space="preserve">已做领料单库存充足</t>
    </r>
    <r>
      <rPr>
        <color rgb="FF7F7F7F"/>
        <rFont val="Songti SC Regular"/>
        <sz val="11"/>
      </rPr>
      <t xml:space="preserve">
CZY-260507</t>
    </r>
    <r>
      <rPr>
        <color rgb="FF7F7F7F"/>
        <rFont val="宋体"/>
        <sz val="11"/>
      </rPr>
      <t xml:space="preserve">》周荣那边立即整理出电控柜长交期物料，立即下单采购</t>
    </r>
  </si>
  <si>
    <t>重大变更决议</t>
  </si>
  <si>
    <t>决策时间</t>
  </si>
  <si>
    <t>决策起因</t>
  </si>
  <si>
    <t>决策内容</t>
  </si>
  <si>
    <t>影响结果</t>
  </si>
  <si>
    <t>参与决策人员</t>
  </si>
  <si>
    <t>商务部答应了弓叶的需求，要将目前在研处于 CDR 阶段的 HE3 进行销售，签单 60 支机械臂，分为两个阶段出货，第一阶段 10 支，6/M 之前交付，其余 50 支交付时间待定</t>
  </si>
  <si>
    <t>1、研发被迫暂停 HE3 标准品开发，配合先行发布一个版本进行生产导入
2、生产需要优先配合进行 HE3 导入</t>
  </si>
  <si>
    <r>
      <rPr>
        <color rgb="FF000000"/>
        <rFont val="Songti SC Regular"/>
        <sz val="11"/>
      </rPr>
      <t xml:space="preserve">1</t>
    </r>
    <r>
      <rPr>
        <color rgb="FF000000"/>
        <rFont val="宋体"/>
        <sz val="11"/>
      </rPr>
      <t xml:space="preserve">、</t>
    </r>
    <r>
      <rPr>
        <color rgb="FF000000"/>
        <rFont val="宋体"/>
        <sz val="11"/>
      </rPr>
      <t xml:space="preserve">HE3 </t>
    </r>
    <r>
      <rPr>
        <color rgb="FF000000"/>
        <rFont val="宋体"/>
        <sz val="11"/>
      </rPr>
      <t xml:space="preserve">需要分为两个阶段进行开发，第一阶段先进行</t>
    </r>
    <r>
      <rPr>
        <color rgb="FF000000"/>
        <rFont val="Songti SC Regular"/>
        <sz val="11"/>
      </rPr>
      <t xml:space="preserve"> HE3 </t>
    </r>
    <r>
      <rPr>
        <color rgb="FF000000"/>
        <rFont val="宋体"/>
        <sz val="11"/>
      </rPr>
      <t xml:space="preserve">弓叶定制版本发布，第二阶段再继续进行</t>
    </r>
    <r>
      <rPr>
        <color rgb="FF000000"/>
        <rFont val="Songti SC Regular"/>
        <sz val="11"/>
      </rPr>
      <t xml:space="preserve"> HE3 </t>
    </r>
    <r>
      <rPr>
        <color rgb="FF000000"/>
        <rFont val="宋体"/>
        <sz val="11"/>
      </rPr>
      <t xml:space="preserve">标准版发布，HE3 整个项目进度预计延期至少</t>
    </r>
    <r>
      <rPr>
        <color rgb="FF000000"/>
        <rFont val="Songti SC Regular"/>
        <sz val="11"/>
      </rPr>
      <t xml:space="preserve"> 3 </t>
    </r>
    <r>
      <rPr>
        <color rgb="FF000000"/>
        <rFont val="宋体"/>
        <sz val="11"/>
      </rPr>
      <t xml:space="preserve">个月</t>
    </r>
    <r>
      <rPr>
        <color rgb="FF000000"/>
        <rFont val="Songti SC Regular"/>
        <sz val="11"/>
      </rPr>
      <t xml:space="preserve">
2</t>
    </r>
    <r>
      <rPr>
        <color rgb="FF000000"/>
        <rFont val="宋体"/>
        <sz val="11"/>
      </rPr>
      <t xml:space="preserve">、因</t>
    </r>
    <r>
      <rPr>
        <color rgb="FF000000"/>
        <rFont val="Songti SC Regular"/>
        <sz val="11"/>
      </rPr>
      <t xml:space="preserve"> HE3 </t>
    </r>
    <r>
      <rPr>
        <color rgb="FF000000"/>
        <rFont val="宋体"/>
        <sz val="11"/>
      </rPr>
      <t xml:space="preserve">弓叶定制版优先级提高，CR1X、CR2Y、</t>
    </r>
    <r>
      <rPr>
        <color rgb="FF000000"/>
        <rFont val="Songti SC Regular"/>
        <sz val="11"/>
      </rPr>
      <t xml:space="preserve">TH18 </t>
    </r>
    <r>
      <rPr>
        <color rgb="FF000000"/>
        <rFont val="宋体"/>
        <sz val="11"/>
      </rPr>
      <t xml:space="preserve">和</t>
    </r>
    <r>
      <rPr>
        <color rgb="FF000000"/>
        <rFont val="Songti SC Regular"/>
        <sz val="11"/>
      </rPr>
      <t xml:space="preserve"> AF </t>
    </r>
    <r>
      <rPr>
        <color rgb="FF000000"/>
        <rFont val="宋体"/>
        <sz val="11"/>
      </rPr>
      <t xml:space="preserve">被迫降低优先级，原计划开发进度受影响，这几个项目的开发时间初步预计都会延期</t>
    </r>
    <r>
      <rPr>
        <color rgb="FF000000"/>
        <rFont val="Songti SC Regular"/>
        <sz val="11"/>
      </rPr>
      <t xml:space="preserve"> 2 </t>
    </r>
    <r>
      <rPr>
        <color rgb="FF000000"/>
        <rFont val="宋体"/>
        <sz val="11"/>
      </rPr>
      <t xml:space="preserve">周左右。</t>
    </r>
    <r>
      <rPr>
        <color rgb="FF000000"/>
        <rFont val="Songti SC Regular"/>
        <sz val="11"/>
      </rPr>
      <t xml:space="preserve">
3</t>
    </r>
    <r>
      <rPr>
        <color rgb="FF000000"/>
        <rFont val="宋体"/>
        <sz val="11"/>
      </rPr>
      <t xml:space="preserve">、因</t>
    </r>
    <r>
      <rPr>
        <color rgb="FF000000"/>
        <rFont val="Songti SC Regular"/>
        <sz val="11"/>
      </rPr>
      <t xml:space="preserve"> HE3 </t>
    </r>
    <r>
      <rPr>
        <color rgb="FF000000"/>
        <rFont val="宋体"/>
        <sz val="11"/>
      </rPr>
      <t xml:space="preserve">为样机，一旦出问题</t>
    </r>
    <r>
      <rPr>
        <color rgb="FF000000"/>
        <rFont val="Songti SC Regular"/>
        <sz val="11"/>
      </rPr>
      <t xml:space="preserve"> TS </t>
    </r>
    <r>
      <rPr>
        <color rgb="FF000000"/>
        <rFont val="宋体"/>
        <sz val="11"/>
      </rPr>
      <t xml:space="preserve">很可能无法维护，需要研发去往现场解决，严重影响研发在研项目进展，对其他项目可能会造成普遍性影响，其他项目进展可能会进一步延期。</t>
    </r>
    <r>
      <rPr>
        <color rgb="FF000000"/>
        <rFont val="Songti SC Regular"/>
        <sz val="11"/>
      </rPr>
      <t xml:space="preserve">
4</t>
    </r>
    <r>
      <rPr>
        <color rgb="FF000000"/>
        <rFont val="宋体"/>
        <sz val="11"/>
      </rPr>
      <t xml:space="preserve">、生产被迫需要调整生产计划，协调人员提前进行生产培训和导入，到因时间太过紧迫，没有充足时间去进行人员培训和</t>
    </r>
    <r>
      <rPr>
        <color rgb="FF000000"/>
        <rFont val="Songti SC Regular"/>
        <sz val="11"/>
      </rPr>
      <t xml:space="preserve"> SOP </t>
    </r>
    <r>
      <rPr>
        <color rgb="FF000000"/>
        <rFont val="宋体"/>
        <sz val="11"/>
      </rPr>
      <t xml:space="preserve">编写，生产品质问题可能很难保障，客诉问题可能会较多，且都可能需要研发下场解决。</t>
    </r>
    <r>
      <rPr>
        <color rgb="FF000000"/>
        <rFont val="Songti SC Regular"/>
        <sz val="11"/>
      </rPr>
      <t xml:space="preserve">
5</t>
    </r>
    <r>
      <rPr>
        <color rgb="FF000000"/>
        <rFont val="宋体"/>
        <sz val="11"/>
      </rPr>
      <t xml:space="preserve">、因项目较为紧急，物料购买需要加急，可能会将成本要求降低，即整机成本可能会提高，压缩我们的售卖利润；同时研发开发时间不足，客诉问题可能较多，且生产培训不足，生产过程中的损耗可能会增加，也可能会进一步增加客诉数量，这些生产耗损和客诉，以及后续</t>
    </r>
    <r>
      <rPr>
        <color rgb="FF000000"/>
        <rFont val="Songti SC Regular"/>
        <sz val="11"/>
      </rPr>
      <t xml:space="preserve"> TS </t>
    </r>
    <r>
      <rPr>
        <color rgb="FF000000"/>
        <rFont val="宋体"/>
        <sz val="11"/>
      </rPr>
      <t xml:space="preserve">在现场的维护难度，必要时对研发出差解决的需求，都会进一步推高整体的成本。另外还包含对其他项目进度的影响而带来的隐形成本提升。</t>
    </r>
    <r>
      <rPr>
        <color rgb="FF000000"/>
        <rFont val="Songti SC Regular"/>
        <sz val="11"/>
      </rPr>
      <t xml:space="preserve">
6</t>
    </r>
    <r>
      <rPr>
        <color rgb="FF000000"/>
        <rFont val="宋体"/>
        <sz val="11"/>
      </rPr>
      <t xml:space="preserve">、因</t>
    </r>
    <r>
      <rPr>
        <color rgb="FF000000"/>
        <rFont val="Songti SC Regular"/>
        <sz val="11"/>
      </rPr>
      <t xml:space="preserve"> HE3 </t>
    </r>
    <r>
      <rPr>
        <color rgb="FF000000"/>
        <rFont val="宋体"/>
        <sz val="11"/>
      </rPr>
      <t xml:space="preserve">定制版着急发布，验证不充分，设计上可能会存在遗漏，出货机台可能会存在批量性问题，对公司的口碑和成本都会造成损失。</t>
    </r>
    <r>
      <rPr>
        <color rgb="FF000000"/>
        <rFont val="Songti SC Regular"/>
        <sz val="11"/>
      </rPr>
      <t xml:space="preserve">
7</t>
    </r>
    <r>
      <rPr>
        <color rgb="FF000000"/>
        <rFont val="宋体"/>
        <sz val="11"/>
      </rPr>
      <t xml:space="preserve">、HE3 紧急情况下发布，很可能会限制我们后续对</t>
    </r>
    <r>
      <rPr>
        <color rgb="FF000000"/>
        <rFont val="Songti SC Regular"/>
        <sz val="11"/>
      </rPr>
      <t xml:space="preserve"> HE3 </t>
    </r>
    <r>
      <rPr>
        <color rgb="FF000000"/>
        <rFont val="宋体"/>
        <sz val="11"/>
      </rPr>
      <t xml:space="preserve">的优化设计，在进行设计时不得不考虑已出货产品的维护，使得优化措施实施受限。</t>
    </r>
  </si>
  <si>
    <t>金鑫彤、陈真宇、曹小贝</t>
  </si>
  <si>
    <r>
      <rPr>
        <b/>
        <color rgb="FFFF0000"/>
        <rFont val="Songti SC Regular"/>
        <sz val="11"/>
      </rPr>
      <t xml:space="preserve">CS-260510》</t>
    </r>
    <r>
      <rPr>
        <color rgb="FF000000"/>
        <rFont val="Songti SC Regular"/>
        <sz val="11"/>
      </rPr>
      <t xml:space="preserve">切分两个阶段，这个影响是什么？“重大变更决议” 最重要的就是把变更细节说明清楚！同时这个变更的影响也必须说清楚！所谓的“说清楚”，就是必须以 “人、事、物、时间、金钱” 五个角度来分析这个决议的影响，量化！</t>
    </r>
  </si>
  <si>
    <t>弓叶交付订单分为两批次，考虑到数量较多，要评估是否开模</t>
  </si>
  <si>
    <r>
      <rPr>
        <color rgb="FF000000"/>
        <rFont val="宋体"/>
        <sz val="11"/>
      </rPr>
      <t xml:space="preserve">1、今天收到采购模具报价，总费用 117.5 万，开模后单台机成本降低 3262 元，考虑到</t>
    </r>
    <r>
      <rPr>
        <color rgb="FF000000"/>
        <rFont val="Songti SC Regular"/>
        <sz val="11"/>
      </rPr>
      <t xml:space="preserve"> 60 </t>
    </r>
    <r>
      <rPr>
        <color rgb="FF000000"/>
        <rFont val="宋体"/>
        <sz val="11"/>
      </rPr>
      <t xml:space="preserve">台机的量开模的话，没有任何利润，且模具费用无法回本；
2、且</t>
    </r>
    <r>
      <rPr>
        <color rgb="FF000000"/>
        <rFont val="Songti SC Regular"/>
        <sz val="11"/>
      </rPr>
      <t xml:space="preserve"> HE3 </t>
    </r>
    <r>
      <rPr>
        <color rgb="FF000000"/>
        <rFont val="宋体"/>
        <sz val="11"/>
      </rPr>
      <t xml:space="preserve">还要进行工业设计，现在开模模具只能针对这</t>
    </r>
    <r>
      <rPr>
        <color rgb="FF000000"/>
        <rFont val="Songti SC Regular"/>
        <sz val="11"/>
      </rPr>
      <t xml:space="preserve"> 60 </t>
    </r>
    <r>
      <rPr>
        <color rgb="FF000000"/>
        <rFont val="宋体"/>
        <sz val="11"/>
      </rPr>
      <t xml:space="preserve">台使用，不划算
3、因此这 60 台机不考虑开模，以机加形式交付。</t>
    </r>
  </si>
  <si>
    <t>黎少坤、谭成、金鑫彤、陈真宇、曹小贝</t>
  </si>
  <si>
    <r>
      <rPr>
        <color rgb="FF000000"/>
        <rFont val="Songti SC Regular"/>
        <sz val="11"/>
      </rPr>
      <t xml:space="preserve">HE3 5</t>
    </r>
    <r>
      <rPr>
        <color rgb="FF000000"/>
        <rFont val="宋体"/>
        <sz val="11"/>
      </rPr>
      <t xml:space="preserve">、</t>
    </r>
    <r>
      <rPr>
        <color rgb="FF000000"/>
        <rFont val="Songti SC Regular"/>
        <sz val="11"/>
      </rPr>
      <t xml:space="preserve">6 </t>
    </r>
    <r>
      <rPr>
        <color rgb="FF000000"/>
        <rFont val="宋体"/>
        <sz val="11"/>
      </rPr>
      <t xml:space="preserve">轴结构需要优化</t>
    </r>
  </si>
  <si>
    <r>
      <rPr>
        <color rgb="FF000000"/>
        <rFont val="Songti SC Regular"/>
        <sz val="11"/>
      </rPr>
      <t xml:space="preserve">1</t>
    </r>
    <r>
      <rPr>
        <color rgb="FF000000"/>
        <rFont val="宋体"/>
        <sz val="11"/>
      </rPr>
      <t xml:space="preserve">、</t>
    </r>
    <r>
      <rPr>
        <color rgb="FF000000"/>
        <rFont val="Songti SC Regular"/>
        <sz val="11"/>
      </rPr>
      <t xml:space="preserve">HE3 </t>
    </r>
    <r>
      <rPr>
        <color rgb="FF000000"/>
        <rFont val="宋体"/>
        <sz val="11"/>
      </rPr>
      <t xml:space="preserve">目前的</t>
    </r>
    <r>
      <rPr>
        <color rgb="FF000000"/>
        <rFont val="Songti SC Regular"/>
        <sz val="11"/>
      </rPr>
      <t xml:space="preserve"> 5 </t>
    </r>
    <r>
      <rPr>
        <color rgb="FF000000"/>
        <rFont val="宋体"/>
        <sz val="11"/>
      </rPr>
      <t xml:space="preserve">轴和</t>
    </r>
    <r>
      <rPr>
        <color rgb="FF000000"/>
        <rFont val="Songti SC Regular"/>
        <sz val="11"/>
      </rPr>
      <t xml:space="preserve"> 6 </t>
    </r>
    <r>
      <rPr>
        <color rgb="FF000000"/>
        <rFont val="宋体"/>
        <sz val="11"/>
      </rPr>
      <t xml:space="preserve">轴采用的是连杆结构，会对力控产生影响，不能使用。</t>
    </r>
    <r>
      <rPr>
        <color rgb="FF000000"/>
        <rFont val="Songti SC Regular"/>
        <sz val="11"/>
      </rPr>
      <t xml:space="preserve">
2</t>
    </r>
    <r>
      <rPr>
        <color rgb="FF000000"/>
        <rFont val="宋体"/>
        <sz val="11"/>
      </rPr>
      <t xml:space="preserve">、考虑模组直连或同步轮同步带方案，需从中二选一，目前正在进行设计中</t>
    </r>
  </si>
  <si>
    <r>
      <rPr>
        <color rgb="FF000000"/>
        <rFont val="Songti SC Regular"/>
        <sz val="11"/>
      </rPr>
      <t xml:space="preserve">1</t>
    </r>
    <r>
      <rPr>
        <color rgb="FF000000"/>
        <rFont val="宋体"/>
        <sz val="11"/>
      </rPr>
      <t xml:space="preserve">、</t>
    </r>
    <r>
      <rPr>
        <color rgb="FF000000"/>
        <rFont val="Songti SC Regular"/>
        <sz val="11"/>
      </rPr>
      <t xml:space="preserve">HE3 5</t>
    </r>
    <r>
      <rPr>
        <color rgb="FF000000"/>
        <rFont val="宋体"/>
        <sz val="11"/>
      </rPr>
      <t xml:space="preserve">、</t>
    </r>
    <r>
      <rPr>
        <color rgb="FF000000"/>
        <rFont val="Songti SC Regular"/>
        <sz val="11"/>
      </rPr>
      <t xml:space="preserve">6 </t>
    </r>
    <r>
      <rPr>
        <color rgb="FF000000"/>
        <rFont val="宋体"/>
        <sz val="11"/>
      </rPr>
      <t xml:space="preserve">轴结构设计需要重新进行，需要多耗时</t>
    </r>
    <r>
      <rPr>
        <color rgb="FF000000"/>
        <rFont val="Songti SC Regular"/>
        <sz val="11"/>
      </rPr>
      <t xml:space="preserve"> 2-3 </t>
    </r>
    <r>
      <rPr>
        <color rgb="FF000000"/>
        <rFont val="宋体"/>
        <sz val="11"/>
      </rPr>
      <t xml:space="preserve">天，原计划需要推迟</t>
    </r>
    <r>
      <rPr>
        <color rgb="FF000000"/>
        <rFont val="Songti SC Regular"/>
        <sz val="11"/>
      </rPr>
      <t xml:space="preserve">
2</t>
    </r>
    <r>
      <rPr>
        <color rgb="FF000000"/>
        <rFont val="宋体"/>
        <sz val="11"/>
      </rPr>
      <t xml:space="preserve">、相应的生产交付时间也会受影响，需要压缩，对供应链的考验加剧</t>
    </r>
  </si>
  <si>
    <t>沙琪、曹小贝、刘哲、陈真宇、蒋海春</t>
  </si>
  <si>
    <t>弓叶订单交付紧急</t>
  </si>
  <si>
    <r>
      <rPr>
        <color rgb="FF000000"/>
        <rFont val="Songti SC Regular"/>
        <sz val="11"/>
      </rPr>
      <t xml:space="preserve">1</t>
    </r>
    <r>
      <rPr>
        <color rgb="FF000000"/>
        <rFont val="宋体"/>
        <sz val="11"/>
      </rPr>
      <t xml:space="preserve">、针对弓叶第一批八台订单</t>
    </r>
    <r>
      <rPr>
        <color rgb="FF000000"/>
        <rFont val="Songti SC Regular"/>
        <sz val="11"/>
      </rPr>
      <t xml:space="preserve">+</t>
    </r>
    <r>
      <rPr>
        <color rgb="FF000000"/>
        <rFont val="宋体"/>
        <sz val="11"/>
      </rPr>
      <t xml:space="preserve">内部测试所需</t>
    </r>
    <r>
      <rPr>
        <color rgb="FF000000"/>
        <rFont val="Songti SC Regular"/>
        <sz val="11"/>
      </rPr>
      <t xml:space="preserve">7</t>
    </r>
    <r>
      <rPr>
        <color rgb="FF000000"/>
        <rFont val="宋体"/>
        <sz val="11"/>
      </rPr>
      <t xml:space="preserve">台，一共十五台保持第一代构型。
</t>
    </r>
    <r>
      <rPr>
        <color rgb="FF000000"/>
        <rFont val="Songti SC Regular"/>
        <sz val="11"/>
      </rPr>
      <t xml:space="preserve">2</t>
    </r>
    <r>
      <rPr>
        <color rgb="FF000000"/>
        <rFont val="宋体"/>
        <sz val="11"/>
      </rPr>
      <t xml:space="preserve">、第二代样机更新应该大幅贴近最终产品形态，具体需求更新在</t>
    </r>
    <r>
      <rPr>
        <color rgb="FF000000"/>
        <rFont val="Songti SC Regular"/>
        <sz val="11"/>
      </rPr>
      <t xml:space="preserve">Spec</t>
    </r>
    <r>
      <rPr>
        <color rgb="FF000000"/>
        <rFont val="宋体"/>
        <sz val="11"/>
      </rPr>
      <t xml:space="preserve">中</t>
    </r>
  </si>
  <si>
    <r>
      <rPr>
        <color rgb="FF000000"/>
        <rFont val="Songti SC Regular"/>
        <sz val="11"/>
      </rPr>
      <t xml:space="preserve">1</t>
    </r>
    <r>
      <rPr>
        <color rgb="FF000000"/>
        <rFont val="宋体"/>
        <sz val="11"/>
      </rPr>
      <t xml:space="preserve">、采用第一版结构只需进行图纸细化，预计</t>
    </r>
    <r>
      <rPr>
        <color rgb="FF000000"/>
        <rFont val="Songti SC Regular"/>
        <sz val="11"/>
      </rPr>
      <t xml:space="preserve">5/14</t>
    </r>
    <r>
      <rPr>
        <color rgb="FF000000"/>
        <rFont val="宋体"/>
        <sz val="11"/>
      </rPr>
      <t xml:space="preserve">号就能给出机械图纸
</t>
    </r>
    <r>
      <rPr>
        <color rgb="FF000000"/>
        <rFont val="Songti SC Regular"/>
        <sz val="11"/>
      </rPr>
      <t xml:space="preserve">2</t>
    </r>
    <r>
      <rPr>
        <color rgb="FF000000"/>
        <rFont val="宋体"/>
        <sz val="11"/>
      </rPr>
      <t xml:space="preserve">、第二版设计应加快进度，保证后续的订单交付
</t>
    </r>
  </si>
  <si>
    <t>沙琪、曹小贝、刘哲、陈真宇</t>
  </si>
  <si>
    <r>
      <rPr>
        <color rgb="FF000000"/>
        <rFont val="宋体"/>
        <sz val="11"/>
      </rPr>
      <t xml:space="preserve">研发项目</t>
    </r>
    <r>
      <rPr>
        <color rgb="FF000000"/>
        <rFont val="Arial"/>
        <sz val="11"/>
      </rPr>
      <t xml:space="preserve"> - </t>
    </r>
    <r>
      <rPr>
        <color rgb="FF000000"/>
        <rFont val="宋体"/>
        <sz val="11"/>
      </rPr>
      <t xml:space="preserve">【</t>
    </r>
    <r>
      <rPr>
        <color rgb="FF000000"/>
        <rFont val="Arial"/>
        <sz val="11"/>
      </rPr>
      <t xml:space="preserve">HE3 </t>
    </r>
    <r>
      <rPr>
        <color rgb="FF000000"/>
        <rFont val="宋体"/>
        <sz val="11"/>
      </rPr>
      <t xml:space="preserve">项目】，</t>
    </r>
    <r>
      <rPr>
        <color rgb="FF000000"/>
        <rFont val="Arial"/>
        <sz val="11"/>
      </rPr>
      <t xml:space="preserve">NPI </t>
    </r>
    <r>
      <rPr>
        <color rgb="FF000000"/>
        <rFont val="宋体"/>
        <sz val="11"/>
      </rPr>
      <t xml:space="preserve">阶段目标</t>
    </r>
  </si>
  <si>
    <t>项目经理/更新时间：陈真宇，2026/7/10</t>
  </si>
  <si>
    <t>审核人员/更新时间：曹小贝，2026/7/10</t>
  </si>
  <si>
    <r>
      <rPr>
        <color rgb="FF000000"/>
        <rFont val="Arial"/>
        <sz val="11"/>
      </rPr>
      <t xml:space="preserve">NPI </t>
    </r>
    <r>
      <rPr>
        <color rgb="FF000000"/>
        <rFont val="宋体"/>
        <sz val="11"/>
      </rPr>
      <t xml:space="preserve">阶段</t>
    </r>
  </si>
  <si>
    <r>
      <rPr>
        <color rgb="FF000000"/>
        <rFont val="宋体"/>
        <sz val="11"/>
      </rPr>
      <t xml:space="preserve">阶段性任务</t>
    </r>
  </si>
  <si>
    <r>
      <rPr>
        <color rgb="FF000000"/>
        <rFont val="宋体"/>
        <sz val="11"/>
      </rPr>
      <t xml:space="preserve">里程碑</t>
    </r>
  </si>
  <si>
    <r>
      <rPr>
        <color rgb="FF000000"/>
        <rFont val="宋体"/>
        <sz val="11"/>
      </rPr>
      <t xml:space="preserve">负责人</t>
    </r>
  </si>
  <si>
    <r>
      <rPr>
        <color rgb="FF000000"/>
        <rFont val="宋体"/>
        <sz val="11"/>
      </rPr>
      <t xml:space="preserve">目标完成日期</t>
    </r>
  </si>
  <si>
    <r>
      <rPr>
        <color rgb="FF000000"/>
        <rFont val="宋体"/>
        <sz val="11"/>
      </rPr>
      <t xml:space="preserve">实际完成日期</t>
    </r>
  </si>
  <si>
    <r>
      <rPr>
        <color rgb="FF000000"/>
        <rFont val="宋体"/>
        <sz val="11"/>
      </rPr>
      <t xml:space="preserve">预估工时（</t>
    </r>
    <r>
      <rPr>
        <color rgb="FF000000"/>
        <rFont val="Arial"/>
        <sz val="11"/>
      </rPr>
      <t xml:space="preserve">h</t>
    </r>
    <r>
      <rPr>
        <color rgb="FF000000"/>
        <rFont val="宋体"/>
        <sz val="11"/>
      </rPr>
      <t xml:space="preserve">）</t>
    </r>
  </si>
  <si>
    <r>
      <rPr>
        <color rgb="FF000000"/>
        <rFont val="宋体"/>
        <sz val="11"/>
      </rPr>
      <t xml:space="preserve">实际工时（</t>
    </r>
    <r>
      <rPr>
        <color rgb="FF000000"/>
        <rFont val="Arial"/>
        <sz val="11"/>
      </rPr>
      <t xml:space="preserve">h</t>
    </r>
    <r>
      <rPr>
        <color rgb="FF000000"/>
        <rFont val="宋体"/>
        <sz val="11"/>
      </rPr>
      <t xml:space="preserve">）</t>
    </r>
  </si>
  <si>
    <r>
      <rPr>
        <color rgb="FF000000"/>
        <rFont val="宋体"/>
        <sz val="11"/>
      </rPr>
      <t xml:space="preserve">备注</t>
    </r>
  </si>
  <si>
    <r>
      <rPr>
        <color rgb="FF000000"/>
        <rFont val="宋体"/>
        <sz val="11"/>
      </rPr>
      <t xml:space="preserve">立项阶段任务</t>
    </r>
  </si>
  <si>
    <r>
      <rPr>
        <color rgb="FF000000"/>
        <rFont val="宋体"/>
        <sz val="11"/>
      </rPr>
      <t xml:space="preserve">立项阶段</t>
    </r>
    <r>
      <rPr>
        <color rgb="FF000000"/>
        <rFont val="Arial"/>
        <sz val="11"/>
      </rPr>
      <t xml:space="preserve"> 
</t>
    </r>
    <r>
      <rPr>
        <color rgb="FF000000"/>
        <rFont val="宋体"/>
        <sz val="11"/>
      </rPr>
      <t xml:space="preserve">时间节点：</t>
    </r>
    <r>
      <rPr>
        <color rgb="FF000000"/>
        <rFont val="Arial"/>
        <sz val="11"/>
      </rPr>
      <t xml:space="preserve">2026/6/30</t>
    </r>
  </si>
  <si>
    <t>One-pager</t>
  </si>
  <si>
    <r>
      <rPr>
        <color rgb="FF000000"/>
        <rFont val="宋体"/>
        <sz val="11"/>
      </rPr>
      <t xml:space="preserve">陈真宇</t>
    </r>
  </si>
  <si>
    <r>
      <rPr>
        <color rgb="FF000000"/>
        <rFont val="Arial"/>
        <sz val="11"/>
      </rPr>
      <t xml:space="preserve">2026/7/10</t>
    </r>
    <r>
      <rPr>
        <color rgb="FF7F7F7F"/>
        <rFont val="Arial"/>
        <sz val="11"/>
      </rPr>
      <t xml:space="preserve">
2026/6/30
2026/5/15</t>
    </r>
    <r>
      <rPr>
        <color rgb="FF000000"/>
        <rFont val="Arial"/>
        <sz val="11"/>
      </rPr>
      <t xml:space="preserve">
</t>
    </r>
    <r>
      <rPr>
        <color rgb="FF7F7F7F"/>
        <rFont val="Arial"/>
        <sz val="11"/>
      </rPr>
      <t xml:space="preserve">2026/4/E</t>
    </r>
  </si>
  <si>
    <r>
      <rPr>
        <color rgb="FF000000"/>
        <rFont val="Arial"/>
        <sz val="11"/>
      </rPr>
      <t xml:space="preserve">CZY-260709》根据机电组和运控组审核意见完成V1.1版本，已发出审核</t>
    </r>
    <r>
      <t xml:space="preserve">
</t>
    </r>
    <r>
      <rPr>
        <color rgb="FF7E7F7F"/>
        <rFont val="Arial"/>
        <sz val="11"/>
      </rPr>
      <t xml:space="preserve">CZY-260708》目前已整理完机电组审核意见，正在整理运控组审核意见。</t>
    </r>
    <r>
      <rPr>
        <color rgb="FF7E7F7F"/>
        <rFont val="等线"/>
        <sz val="12"/>
      </rPr>
      <t xml:space="preserve">
</t>
    </r>
    <r>
      <rPr>
        <color rgb="FF7E7F7F"/>
        <rFont val="Arial"/>
        <sz val="11"/>
      </rPr>
      <t xml:space="preserve">CZY-260630</t>
    </r>
    <r>
      <rPr>
        <color rgb="FF7E7F7F"/>
        <rFont val="宋体"/>
        <sz val="11"/>
      </rPr>
      <t xml:space="preserve">》已完成初版，正在审核中</t>
    </r>
    <r>
      <rPr>
        <color rgb="FF7E7F7F"/>
        <rFont val="Arial"/>
        <sz val="11"/>
      </rPr>
      <t xml:space="preserve">
</t>
    </r>
    <r>
      <rPr>
        <color rgb="FF7F7F7F"/>
        <rFont val="Arial"/>
        <sz val="11"/>
      </rPr>
      <t xml:space="preserve">CZY-260624</t>
    </r>
    <r>
      <rPr>
        <color rgb="FF7F7F7F"/>
        <rFont val="宋体"/>
        <sz val="11"/>
      </rPr>
      <t xml:space="preserve">》正在按最新格式完善</t>
    </r>
    <r>
      <rPr>
        <color rgb="FF7F7F7F"/>
        <rFont val="Arial"/>
        <sz val="11"/>
      </rPr>
      <t xml:space="preserve">one-pager</t>
    </r>
    <r>
      <rPr>
        <color rgb="FF000000"/>
        <rFont val="Arial"/>
        <sz val="11"/>
      </rPr>
      <t xml:space="preserve">
</t>
    </r>
    <r>
      <rPr>
        <color rgb="FF7F7F7F"/>
        <rFont val="Arial"/>
        <sz val="11"/>
      </rPr>
      <t xml:space="preserve">CZY-260623</t>
    </r>
    <r>
      <rPr>
        <color rgb="FF7F7F7F"/>
        <rFont val="宋体"/>
        <sz val="11"/>
      </rPr>
      <t xml:space="preserve">》已完成</t>
    </r>
    <r>
      <rPr>
        <color rgb="FF7F7F7F"/>
        <rFont val="Arial"/>
        <sz val="11"/>
      </rPr>
      <t xml:space="preserve">TH5</t>
    </r>
    <r>
      <rPr>
        <color rgb="FF7F7F7F"/>
        <rFont val="宋体"/>
        <sz val="11"/>
      </rPr>
      <t xml:space="preserve">加工图外发，正在完善</t>
    </r>
    <r>
      <rPr>
        <color rgb="FF7F7F7F"/>
        <rFont val="Arial"/>
        <sz val="11"/>
      </rPr>
      <t xml:space="preserve">one-pager</t>
    </r>
    <r>
      <rPr>
        <color rgb="FF808080"/>
        <rFont val="Arial"/>
        <sz val="11"/>
      </rPr>
      <t xml:space="preserve">
CZY-260610</t>
    </r>
    <r>
      <rPr>
        <color rgb="FF808080"/>
        <rFont val="宋体"/>
        <sz val="11"/>
      </rPr>
      <t xml:space="preserve">》目前已完成</t>
    </r>
    <r>
      <rPr>
        <color rgb="FF808080"/>
        <rFont val="Arial"/>
        <sz val="11"/>
      </rPr>
      <t xml:space="preserve">90%</t>
    </r>
    <r>
      <rPr>
        <color rgb="FF808080"/>
        <rFont val="宋体"/>
        <sz val="11"/>
      </rPr>
      <t xml:space="preserve">预计下周完成初版
</t>
    </r>
    <r>
      <rPr>
        <color rgb="FF808080"/>
        <rFont val="Arial"/>
        <sz val="11"/>
      </rPr>
      <t xml:space="preserve">CZY-260528</t>
    </r>
    <r>
      <rPr>
        <color rgb="FF808080"/>
        <rFont val="宋体"/>
        <sz val="11"/>
      </rPr>
      <t xml:space="preserve">》优先完成弓叶订单交付任务
</t>
    </r>
    <r>
      <rPr>
        <color rgb="FF808080"/>
        <rFont val="Arial"/>
        <sz val="11"/>
      </rPr>
      <t xml:space="preserve">CZY-260424</t>
    </r>
    <r>
      <rPr>
        <color rgb="FF808080"/>
        <rFont val="宋体"/>
        <sz val="11"/>
      </rPr>
      <t xml:space="preserve">》优先完成项目重新梳理规划，</t>
    </r>
    <r>
      <rPr>
        <color rgb="FF808080"/>
        <rFont val="Arial"/>
        <sz val="11"/>
      </rPr>
      <t xml:space="preserve">one-pager</t>
    </r>
    <r>
      <rPr>
        <color rgb="FF808080"/>
        <rFont val="宋体"/>
        <sz val="11"/>
      </rPr>
      <t xml:space="preserve">进度延迟
</t>
    </r>
    <r>
      <rPr>
        <color rgb="FF808080"/>
        <rFont val="Arial"/>
        <sz val="11"/>
      </rPr>
      <t xml:space="preserve">CZY-260421</t>
    </r>
    <r>
      <rPr>
        <color rgb="FF808080"/>
        <rFont val="宋体"/>
        <sz val="11"/>
      </rPr>
      <t xml:space="preserve">》</t>
    </r>
    <r>
      <rPr>
        <color rgb="FF808080"/>
        <rFont val="Arial"/>
        <sz val="11"/>
      </rPr>
      <t xml:space="preserve">Spec</t>
    </r>
    <r>
      <rPr>
        <color rgb="FF808080"/>
        <rFont val="宋体"/>
        <sz val="11"/>
      </rPr>
      <t xml:space="preserve">参数修改，预计本周完成初版编写</t>
    </r>
  </si>
  <si>
    <r>
      <rPr>
        <b/>
        <color rgb="FF000000"/>
        <rFont val="宋体"/>
        <sz val="11"/>
      </rPr>
      <t xml:space="preserve">【里程碑】立项阶段评审</t>
    </r>
  </si>
  <si>
    <t>*</t>
  </si>
  <si>
    <r>
      <rPr>
        <color rgb="FF000000"/>
        <rFont val="Arial"/>
        <sz val="11"/>
      </rPr>
      <t xml:space="preserve">2026/7/15</t>
    </r>
    <r>
      <rPr>
        <color rgb="FF7F7F7F"/>
        <rFont val="Arial"/>
        <sz val="11"/>
      </rPr>
      <t xml:space="preserve">2026/6/30
2026/5/15</t>
    </r>
    <r>
      <rPr>
        <color rgb="FF000000"/>
        <rFont val="Arial"/>
        <sz val="11"/>
      </rPr>
      <t xml:space="preserve">
</t>
    </r>
    <r>
      <rPr>
        <color rgb="FF7F7F7F"/>
        <rFont val="Arial"/>
        <sz val="11"/>
      </rPr>
      <t xml:space="preserve">2026/4/E</t>
    </r>
  </si>
  <si>
    <r>
      <rPr>
        <color rgb="FF000000"/>
        <rFont val="宋体"/>
        <sz val="11"/>
      </rPr>
      <t xml:space="preserve">CZY-260708》目前已整理完机电组审核意见，正在整理运控组审核意见。</t>
    </r>
    <r>
      <rPr>
        <color rgb="FF000000"/>
        <rFont val="等线"/>
        <sz val="12"/>
      </rPr>
      <t xml:space="preserve">
</t>
    </r>
    <r>
      <rPr>
        <color rgb="FF000000"/>
        <rFont val="宋体"/>
        <sz val="11"/>
      </rPr>
      <t xml:space="preserve">CZY-262630》已完成初版，正在审核中</t>
    </r>
    <r>
      <rPr>
        <color rgb="FF000000"/>
        <rFont val="Arial"/>
        <sz val="11"/>
      </rPr>
      <t xml:space="preserve">
</t>
    </r>
    <r>
      <rPr>
        <color rgb="FF7F7F7F"/>
        <rFont val="Arial"/>
        <sz val="11"/>
      </rPr>
      <t xml:space="preserve">CZY-262624</t>
    </r>
    <r>
      <rPr>
        <color rgb="FF7F7F7F"/>
        <rFont val="宋体"/>
        <sz val="11"/>
      </rPr>
      <t xml:space="preserve">》正在按最新格式完善one-pager</t>
    </r>
    <r>
      <rPr>
        <color rgb="FF000000"/>
        <rFont val="Arial"/>
        <sz val="11"/>
      </rPr>
      <t xml:space="preserve">
</t>
    </r>
    <r>
      <rPr>
        <color rgb="FF7F7F7F"/>
        <rFont val="Arial"/>
        <sz val="11"/>
      </rPr>
      <t xml:space="preserve">CZY-262623</t>
    </r>
    <r>
      <rPr>
        <color rgb="FF7F7F7F"/>
        <rFont val="宋体"/>
        <sz val="11"/>
      </rPr>
      <t xml:space="preserve">》已完成</t>
    </r>
    <r>
      <rPr>
        <color rgb="FF7F7F7F"/>
        <rFont val="Arial"/>
        <sz val="11"/>
      </rPr>
      <t xml:space="preserve">TH5</t>
    </r>
    <r>
      <rPr>
        <color rgb="FF7F7F7F"/>
        <rFont val="宋体"/>
        <sz val="11"/>
      </rPr>
      <t xml:space="preserve">加工图外发，正在完善</t>
    </r>
    <r>
      <rPr>
        <color rgb="FF7F7F7F"/>
        <rFont val="Arial"/>
        <sz val="11"/>
      </rPr>
      <t xml:space="preserve">one-pager</t>
    </r>
    <r>
      <rPr>
        <color rgb="FF000000"/>
        <rFont val="Arial"/>
        <sz val="11"/>
      </rPr>
      <t xml:space="preserve">
</t>
    </r>
    <r>
      <rPr>
        <color rgb="FF7F7F7F"/>
        <rFont val="Arial"/>
        <sz val="11"/>
      </rPr>
      <t xml:space="preserve">CZY-260610</t>
    </r>
    <r>
      <rPr>
        <color rgb="FF7F7F7F"/>
        <rFont val="宋体"/>
        <sz val="11"/>
      </rPr>
      <t xml:space="preserve">》目前已完成</t>
    </r>
    <r>
      <rPr>
        <color rgb="FF7F7F7F"/>
        <rFont val="Arial"/>
        <sz val="11"/>
      </rPr>
      <t xml:space="preserve">90%</t>
    </r>
    <r>
      <rPr>
        <color rgb="FF7F7F7F"/>
        <rFont val="宋体"/>
        <sz val="11"/>
      </rPr>
      <t xml:space="preserve">预计下周完成初版
</t>
    </r>
    <r>
      <rPr>
        <color rgb="FF7F7F7F"/>
        <rFont val="Arial"/>
        <sz val="11"/>
      </rPr>
      <t xml:space="preserve">CZY-260528</t>
    </r>
    <r>
      <rPr>
        <color rgb="FF7F7F7F"/>
        <rFont val="宋体"/>
        <sz val="11"/>
      </rPr>
      <t xml:space="preserve">》优先完成弓叶订单交付任务</t>
    </r>
  </si>
  <si>
    <r>
      <rPr>
        <color rgb="FF000000"/>
        <rFont val="宋体"/>
        <sz val="11"/>
      </rPr>
      <t xml:space="preserve">工时总数</t>
    </r>
  </si>
  <si>
    <r>
      <rPr>
        <color rgb="FF000000"/>
        <rFont val="Arial"/>
        <sz val="11"/>
      </rPr>
      <t xml:space="preserve">PDR</t>
    </r>
    <r>
      <rPr>
        <color rgb="FF000000"/>
        <rFont val="宋体"/>
        <sz val="11"/>
      </rPr>
      <t xml:space="preserve">阶段任务</t>
    </r>
  </si>
  <si>
    <r>
      <rPr>
        <color rgb="FF000000"/>
        <rFont val="Arial"/>
        <sz val="11"/>
      </rPr>
      <t xml:space="preserve">PDR 
</t>
    </r>
    <r>
      <rPr>
        <color rgb="FF000000"/>
        <rFont val="宋体"/>
        <sz val="11"/>
      </rPr>
      <t xml:space="preserve">时间节点：</t>
    </r>
    <r>
      <rPr>
        <color rgb="FF000000"/>
        <rFont val="Arial"/>
        <sz val="11"/>
      </rPr>
      <t xml:space="preserve">2026/6/30</t>
    </r>
  </si>
  <si>
    <t>关键零部件选型设计</t>
  </si>
  <si>
    <r>
      <rPr>
        <color rgb="FF7F7F7F"/>
        <rFont val="宋体"/>
        <sz val="11"/>
      </rPr>
      <t xml:space="preserve">概念样机模型设计</t>
    </r>
  </si>
  <si>
    <r>
      <rPr>
        <color rgb="FF7F7F7F"/>
        <rFont val="宋体"/>
        <sz val="11"/>
      </rPr>
      <t xml:space="preserve">刘哲</t>
    </r>
  </si>
  <si>
    <r>
      <rPr>
        <color rgb="FF7F7F7F"/>
        <rFont val="宋体"/>
        <sz val="11"/>
      </rPr>
      <t xml:space="preserve">概念样机运动构型评估</t>
    </r>
  </si>
  <si>
    <r>
      <rPr>
        <color rgb="FF7F7F7F"/>
        <rFont val="宋体"/>
        <sz val="11"/>
      </rPr>
      <t xml:space="preserve">王彬</t>
    </r>
  </si>
  <si>
    <r>
      <rPr>
        <color rgb="FF7F7F7F"/>
        <rFont val="宋体"/>
        <sz val="11"/>
      </rPr>
      <t xml:space="preserve">样机构型仿真</t>
    </r>
  </si>
  <si>
    <t>2026/2/13</t>
  </si>
  <si>
    <r>
      <rPr>
        <color rgb="FF7F7F7F"/>
        <rFont val="宋体"/>
        <sz val="11"/>
      </rPr>
      <t xml:space="preserve">样机关键零部件选项</t>
    </r>
  </si>
  <si>
    <r>
      <rPr>
        <b/>
        <color rgb="FF7F7F7F"/>
        <rFont val="宋体"/>
        <sz val="11"/>
      </rPr>
      <t xml:space="preserve">【里程碑】确认关键零部件谐波模组型号</t>
    </r>
    <r>
      <rPr>
        <b/>
        <color rgb="FF7F7F7F"/>
        <rFont val="Arial"/>
        <sz val="11"/>
      </rPr>
      <t xml:space="preserve">+</t>
    </r>
    <r>
      <rPr>
        <b/>
        <color rgb="FF7F7F7F"/>
        <rFont val="宋体"/>
        <sz val="11"/>
      </rPr>
      <t xml:space="preserve">常规模组，已完成了模组测试</t>
    </r>
  </si>
  <si>
    <r>
      <rPr>
        <b/>
        <color rgb="FF7F7F7F"/>
        <rFont val="宋体"/>
        <sz val="11"/>
      </rPr>
      <t xml:space="preserve">【关键点】所有模组已完成单模组测试，在伟达立模组导入项目中完成</t>
    </r>
  </si>
  <si>
    <r>
      <rPr>
        <color rgb="FF7F7F7F"/>
        <rFont val="宋体"/>
        <sz val="11"/>
      </rPr>
      <t xml:space="preserve">毛德明</t>
    </r>
  </si>
  <si>
    <r>
      <rPr>
        <b/>
        <color rgb="FF000000"/>
        <rFont val="宋体"/>
        <sz val="11"/>
      </rPr>
      <t xml:space="preserve">【里程碑】</t>
    </r>
    <r>
      <rPr>
        <b/>
        <color rgb="FF000000"/>
        <rFont val="Arial"/>
        <sz val="11"/>
      </rPr>
      <t xml:space="preserve">PDR</t>
    </r>
    <r>
      <rPr>
        <b/>
        <color rgb="FF000000"/>
        <rFont val="宋体"/>
        <sz val="11"/>
      </rPr>
      <t xml:space="preserve">阶段评审</t>
    </r>
  </si>
  <si>
    <r>
      <rPr>
        <color rgb="FF000000"/>
        <rFont val="Arial"/>
        <sz val="11"/>
      </rPr>
      <t xml:space="preserve">2026/7/10</t>
    </r>
    <r>
      <rPr>
        <color rgb="FF7F7F7F"/>
        <rFont val="Arial"/>
        <sz val="11"/>
      </rPr>
      <t xml:space="preserve">52026/6/30
2026/5/15</t>
    </r>
    <r>
      <rPr>
        <color rgb="FF000000"/>
        <rFont val="Arial"/>
        <sz val="11"/>
      </rPr>
      <t xml:space="preserve">
</t>
    </r>
    <r>
      <rPr>
        <color rgb="FF7F7F7F"/>
        <rFont val="Arial"/>
        <sz val="11"/>
      </rPr>
      <t xml:space="preserve">2026/4/E</t>
    </r>
  </si>
  <si>
    <r>
      <rPr>
        <color rgb="FF000000"/>
        <rFont val="Arial"/>
        <sz val="11"/>
      </rPr>
      <t xml:space="preserve">CZY-260630</t>
    </r>
    <r>
      <rPr>
        <color rgb="FF000000"/>
        <rFont val="宋体"/>
        <sz val="11"/>
      </rPr>
      <t xml:space="preserve">》已整理完</t>
    </r>
    <r>
      <rPr>
        <color rgb="FF000000"/>
        <rFont val="Arial"/>
        <sz val="11"/>
      </rPr>
      <t xml:space="preserve">PDR</t>
    </r>
    <r>
      <rPr>
        <color rgb="FF000000"/>
        <rFont val="宋体"/>
        <sz val="11"/>
      </rPr>
      <t xml:space="preserve">阶段评审资料待审核
</t>
    </r>
    <r>
      <rPr>
        <color rgb="FF7F7F7F"/>
        <rFont val="Arial"/>
        <sz val="11"/>
      </rPr>
      <t xml:space="preserve">CZY-260623</t>
    </r>
    <r>
      <rPr>
        <color rgb="FF7F7F7F"/>
        <rFont val="宋体"/>
        <sz val="11"/>
      </rPr>
      <t xml:space="preserve">》优先支援</t>
    </r>
    <r>
      <rPr>
        <color rgb="FF7F7F7F"/>
        <rFont val="Arial"/>
        <sz val="11"/>
      </rPr>
      <t xml:space="preserve">TH5</t>
    </r>
    <r>
      <rPr>
        <color rgb="FF000000"/>
        <rFont val="Arial"/>
        <sz val="11"/>
      </rPr>
      <t xml:space="preserve">
</t>
    </r>
    <r>
      <rPr>
        <color rgb="FF7F7F7F"/>
        <rFont val="Arial"/>
        <sz val="11"/>
      </rPr>
      <t xml:space="preserve">CZY-260528</t>
    </r>
    <r>
      <rPr>
        <color rgb="FF7F7F7F"/>
        <rFont val="宋体"/>
        <sz val="11"/>
      </rPr>
      <t xml:space="preserve">》优先完成弓叶订单交付任务</t>
    </r>
  </si>
  <si>
    <r>
      <rPr>
        <color rgb="FF000000"/>
        <rFont val="Arial"/>
        <sz val="11"/>
      </rPr>
      <t xml:space="preserve"> CDR </t>
    </r>
    <r>
      <rPr>
        <color rgb="FF000000"/>
        <rFont val="宋体"/>
        <sz val="11"/>
      </rPr>
      <t xml:space="preserve">阶段任务</t>
    </r>
  </si>
  <si>
    <r>
      <rPr>
        <color rgb="FF000000"/>
        <rFont val="Arial"/>
        <sz val="11"/>
      </rPr>
      <t xml:space="preserve">CDR 
</t>
    </r>
    <r>
      <rPr>
        <color rgb="FF000000"/>
        <rFont val="宋体"/>
        <sz val="11"/>
      </rPr>
      <t xml:space="preserve">时间节点：</t>
    </r>
    <r>
      <rPr>
        <color rgb="FF000000"/>
        <rFont val="Arial"/>
        <sz val="11"/>
      </rPr>
      <t xml:space="preserve">2026/6/E</t>
    </r>
  </si>
  <si>
    <r>
      <rPr>
        <color rgb="FF7F7F7F"/>
        <rFont val="宋体"/>
        <sz val="11"/>
      </rPr>
      <t xml:space="preserve">第一代样机本体设计</t>
    </r>
  </si>
  <si>
    <r>
      <rPr>
        <color rgb="FF7F7F7F"/>
        <rFont val="宋体"/>
        <sz val="11"/>
      </rPr>
      <t xml:space="preserve">第一代样机构型设计</t>
    </r>
  </si>
  <si>
    <r>
      <rPr>
        <color rgb="FF7F7F7F"/>
        <rFont val="宋体"/>
        <sz val="11"/>
      </rPr>
      <t xml:space="preserve">第一代样机设计机构件细化</t>
    </r>
  </si>
  <si>
    <r>
      <rPr>
        <color rgb="FF7F7F7F"/>
        <rFont val="宋体"/>
        <sz val="11"/>
      </rPr>
      <t xml:space="preserve">第一代样机图纸</t>
    </r>
    <r>
      <rPr>
        <color rgb="FF7F7F7F"/>
        <rFont val="Arial"/>
        <sz val="11"/>
      </rPr>
      <t xml:space="preserve">BOM</t>
    </r>
  </si>
  <si>
    <r>
      <rPr>
        <color rgb="FF7F7F7F"/>
        <rFont val="宋体"/>
        <sz val="11"/>
      </rPr>
      <t xml:space="preserve">第一代样机电气设计</t>
    </r>
  </si>
  <si>
    <r>
      <rPr>
        <color rgb="FF7F7F7F"/>
        <rFont val="宋体"/>
        <sz val="11"/>
      </rPr>
      <t xml:space="preserve">赖周荣</t>
    </r>
  </si>
  <si>
    <r>
      <rPr>
        <b/>
        <color rgb="FF7F7F7F"/>
        <rFont val="宋体"/>
        <sz val="11"/>
      </rPr>
      <t xml:space="preserve">【里程碑】第一代样机完成设计并申购</t>
    </r>
  </si>
  <si>
    <r>
      <rPr>
        <color rgb="FF7F7F7F"/>
        <rFont val="Arial"/>
        <sz val="11"/>
      </rPr>
      <t xml:space="preserve">HE3</t>
    </r>
    <r>
      <rPr>
        <color rgb="FF7F7F7F"/>
        <rFont val="宋体"/>
        <sz val="11"/>
      </rPr>
      <t xml:space="preserve">第一代样机组装</t>
    </r>
  </si>
  <si>
    <r>
      <rPr>
        <color rgb="FF7F7F7F"/>
        <rFont val="Arial"/>
        <sz val="11"/>
      </rPr>
      <t xml:space="preserve">HE3</t>
    </r>
    <r>
      <rPr>
        <color rgb="FF7F7F7F"/>
        <rFont val="宋体"/>
        <sz val="11"/>
      </rPr>
      <t xml:space="preserve">样机组装（</t>
    </r>
    <r>
      <rPr>
        <color rgb="FF7F7F7F"/>
        <rFont val="Arial"/>
        <sz val="11"/>
      </rPr>
      <t xml:space="preserve">7</t>
    </r>
    <r>
      <rPr>
        <color rgb="FF7F7F7F"/>
        <rFont val="宋体"/>
        <sz val="11"/>
      </rPr>
      <t xml:space="preserve">轴）</t>
    </r>
  </si>
  <si>
    <r>
      <rPr>
        <color rgb="FF7F7F7F"/>
        <rFont val="宋体"/>
        <sz val="11"/>
      </rPr>
      <t xml:space="preserve">曹小贝</t>
    </r>
  </si>
  <si>
    <r>
      <rPr>
        <color rgb="FF7F7F7F"/>
        <rFont val="Arial"/>
        <sz val="11"/>
      </rPr>
      <t xml:space="preserve">HE3</t>
    </r>
    <r>
      <rPr>
        <color rgb="FF7F7F7F"/>
        <rFont val="宋体"/>
        <sz val="11"/>
      </rPr>
      <t xml:space="preserve">样机电气组装（</t>
    </r>
    <r>
      <rPr>
        <color rgb="FF7F7F7F"/>
        <rFont val="Arial"/>
        <sz val="11"/>
      </rPr>
      <t xml:space="preserve">7</t>
    </r>
    <r>
      <rPr>
        <color rgb="FF7F7F7F"/>
        <rFont val="宋体"/>
        <sz val="11"/>
      </rPr>
      <t xml:space="preserve">轴）</t>
    </r>
  </si>
  <si>
    <r>
      <rPr>
        <b/>
        <color rgb="FF7F7F7F"/>
        <rFont val="宋体"/>
        <sz val="11"/>
      </rPr>
      <t xml:space="preserve">【里程碑】完成</t>
    </r>
    <r>
      <rPr>
        <b/>
        <color rgb="FF7F7F7F"/>
        <rFont val="Arial"/>
        <sz val="11"/>
      </rPr>
      <t xml:space="preserve">HE3</t>
    </r>
    <r>
      <rPr>
        <b/>
        <color rgb="FF7F7F7F"/>
        <rFont val="宋体"/>
        <sz val="11"/>
      </rPr>
      <t xml:space="preserve">样机组装（</t>
    </r>
    <r>
      <rPr>
        <b/>
        <color rgb="FF7F7F7F"/>
        <rFont val="Arial"/>
        <sz val="11"/>
      </rPr>
      <t xml:space="preserve">7</t>
    </r>
    <r>
      <rPr>
        <b/>
        <color rgb="FF7F7F7F"/>
        <rFont val="宋体"/>
        <sz val="11"/>
      </rPr>
      <t xml:space="preserve">轴）</t>
    </r>
  </si>
  <si>
    <r>
      <rPr>
        <color rgb="FF7F7F7F"/>
        <rFont val="宋体"/>
        <sz val="11"/>
      </rPr>
      <t xml:space="preserve">样机运动学开发（</t>
    </r>
    <r>
      <rPr>
        <color rgb="FF7F7F7F"/>
        <rFont val="Arial"/>
        <sz val="11"/>
      </rPr>
      <t xml:space="preserve">7</t>
    </r>
    <r>
      <rPr>
        <color rgb="FF7F7F7F"/>
        <rFont val="宋体"/>
        <sz val="11"/>
      </rPr>
      <t xml:space="preserve">轴）</t>
    </r>
  </si>
  <si>
    <r>
      <rPr>
        <color rgb="FF7F7F7F"/>
        <rFont val="宋体"/>
        <sz val="11"/>
      </rPr>
      <t xml:space="preserve">正逆解运动学建模、仿真代码编写和测试</t>
    </r>
  </si>
  <si>
    <r>
      <rPr>
        <color rgb="FF7F7F7F"/>
        <rFont val="宋体"/>
        <sz val="11"/>
      </rPr>
      <t xml:space="preserve">仿真代码转换</t>
    </r>
    <r>
      <rPr>
        <color rgb="FF7F7F7F"/>
        <rFont val="Arial"/>
        <sz val="11"/>
      </rPr>
      <t xml:space="preserve">c</t>
    </r>
    <r>
      <rPr>
        <color rgb="FF7F7F7F"/>
        <rFont val="宋体"/>
        <sz val="11"/>
      </rPr>
      <t xml:space="preserve">语言代码</t>
    </r>
  </si>
  <si>
    <r>
      <rPr>
        <color rgb="FF7F7F7F"/>
        <rFont val="宋体"/>
        <sz val="11"/>
      </rPr>
      <t xml:space="preserve">运动学代码调试和上机测试</t>
    </r>
    <r>
      <rPr>
        <color rgb="FF7F7F7F"/>
        <rFont val="Arial"/>
        <sz val="11"/>
      </rPr>
      <t xml:space="preserve"> </t>
    </r>
  </si>
  <si>
    <r>
      <rPr>
        <b/>
        <color rgb="FF7F7F7F"/>
        <rFont val="宋体"/>
        <sz val="11"/>
      </rPr>
      <t xml:space="preserve">【里程碑】样机发给弓叶适配</t>
    </r>
  </si>
  <si>
    <r>
      <rPr>
        <color rgb="FF7F7F7F"/>
        <rFont val="宋体"/>
        <sz val="11"/>
      </rPr>
      <t xml:space="preserve">系统</t>
    </r>
    <r>
      <rPr>
        <color rgb="FF7F7F7F"/>
        <rFont val="Arial"/>
        <sz val="11"/>
      </rPr>
      <t xml:space="preserve">Utility</t>
    </r>
    <r>
      <rPr>
        <color rgb="FF7F7F7F"/>
        <rFont val="宋体"/>
        <sz val="11"/>
      </rPr>
      <t xml:space="preserve">更新</t>
    </r>
  </si>
  <si>
    <r>
      <rPr>
        <color rgb="FF7F7F7F"/>
        <rFont val="Arial"/>
        <sz val="11"/>
      </rPr>
      <t xml:space="preserve">ARM</t>
    </r>
    <r>
      <rPr>
        <color rgb="FF7F7F7F"/>
        <rFont val="宋体"/>
        <sz val="11"/>
      </rPr>
      <t xml:space="preserve">适配开发</t>
    </r>
  </si>
  <si>
    <r>
      <rPr>
        <color rgb="FF7F7F7F"/>
        <rFont val="宋体"/>
        <sz val="11"/>
      </rPr>
      <t xml:space="preserve">黄小科</t>
    </r>
  </si>
  <si>
    <r>
      <rPr>
        <color rgb="FF7F7F7F"/>
        <rFont val="Arial"/>
        <sz val="11"/>
      </rPr>
      <t xml:space="preserve">
CZY-260421</t>
    </r>
    <r>
      <rPr>
        <color rgb="FF7F7F7F"/>
        <rFont val="宋体"/>
        <sz val="11"/>
      </rPr>
      <t xml:space="preserve">》已完成正式版本适配</t>
    </r>
    <r>
      <rPr>
        <color rgb="FF7F7F7F"/>
        <rFont val="宋体"/>
        <sz val="11"/>
      </rPr>
      <t xml:space="preserve">。</t>
    </r>
  </si>
  <si>
    <r>
      <rPr>
        <color rgb="FF7F7F7F"/>
        <rFont val="Arial"/>
        <sz val="11"/>
      </rPr>
      <t xml:space="preserve">SDK</t>
    </r>
    <r>
      <rPr>
        <color rgb="FF7F7F7F"/>
        <rFont val="宋体"/>
        <sz val="11"/>
      </rPr>
      <t xml:space="preserve">对接开发</t>
    </r>
  </si>
  <si>
    <r>
      <rPr>
        <color rgb="FF7F7F7F"/>
        <rFont val="宋体"/>
        <sz val="11"/>
      </rPr>
      <t xml:space="preserve">任友强</t>
    </r>
  </si>
  <si>
    <r>
      <rPr>
        <color rgb="FF7F7F7F"/>
        <rFont val="Arial"/>
        <sz val="11"/>
      </rPr>
      <t xml:space="preserve">CZY-260421</t>
    </r>
    <r>
      <rPr>
        <color rgb="FF7F7F7F"/>
        <rFont val="宋体"/>
        <sz val="11"/>
      </rPr>
      <t xml:space="preserve">》已经在</t>
    </r>
    <r>
      <rPr>
        <color rgb="FF7F7F7F"/>
        <rFont val="Arial"/>
        <sz val="11"/>
      </rPr>
      <t xml:space="preserve">CR1X</t>
    </r>
    <r>
      <rPr>
        <color rgb="FF7F7F7F"/>
        <rFont val="宋体"/>
        <sz val="11"/>
      </rPr>
      <t xml:space="preserve">上完成。</t>
    </r>
  </si>
  <si>
    <r>
      <rPr>
        <b/>
        <color rgb="FF7F7F7F"/>
        <rFont val="宋体"/>
        <sz val="11"/>
      </rPr>
      <t xml:space="preserve">【里程碑】系统</t>
    </r>
    <r>
      <rPr>
        <b/>
        <color rgb="FF7F7F7F"/>
        <rFont val="Arial"/>
        <sz val="11"/>
      </rPr>
      <t xml:space="preserve">Utility</t>
    </r>
    <r>
      <rPr>
        <b/>
        <color rgb="FF7F7F7F"/>
        <rFont val="宋体"/>
        <sz val="11"/>
      </rPr>
      <t xml:space="preserve">更新完成</t>
    </r>
  </si>
  <si>
    <r>
      <rPr>
        <color rgb="FF7F7F7F"/>
        <rFont val="宋体"/>
        <sz val="11"/>
      </rPr>
      <t xml:space="preserve">黄小科</t>
    </r>
    <r>
      <rPr>
        <color rgb="FF7F7F7F"/>
        <rFont val="Arial"/>
        <sz val="11"/>
      </rPr>
      <t xml:space="preserve">/</t>
    </r>
    <r>
      <rPr>
        <color rgb="FF7F7F7F"/>
        <rFont val="宋体"/>
        <sz val="11"/>
      </rPr>
      <t xml:space="preserve">任友强</t>
    </r>
  </si>
  <si>
    <r>
      <rPr>
        <color rgb="FF000000"/>
        <rFont val="Arial"/>
        <sz val="11"/>
      </rPr>
      <t xml:space="preserve">HE3 </t>
    </r>
    <r>
      <rPr>
        <color rgb="FF000000"/>
        <rFont val="宋体"/>
        <sz val="11"/>
      </rPr>
      <t xml:space="preserve">样机控制适配（</t>
    </r>
    <r>
      <rPr>
        <color rgb="FF000000"/>
        <rFont val="Arial"/>
        <sz val="11"/>
      </rPr>
      <t xml:space="preserve">7 </t>
    </r>
    <r>
      <rPr>
        <color rgb="FF000000"/>
        <rFont val="宋体"/>
        <sz val="11"/>
      </rPr>
      <t xml:space="preserve">轴）</t>
    </r>
  </si>
  <si>
    <r>
      <rPr>
        <color rgb="FF7F7F7F"/>
        <rFont val="宋体"/>
        <sz val="11"/>
      </rPr>
      <t xml:space="preserve">机器人控制（</t>
    </r>
    <r>
      <rPr>
        <color rgb="FF7F7F7F"/>
        <rFont val="Arial"/>
        <sz val="11"/>
      </rPr>
      <t xml:space="preserve">PID</t>
    </r>
    <r>
      <rPr>
        <color rgb="FF7F7F7F"/>
        <rFont val="宋体"/>
        <sz val="11"/>
      </rPr>
      <t xml:space="preserve">）</t>
    </r>
  </si>
  <si>
    <r>
      <rPr>
        <color rgb="FF7F7F7F"/>
        <rFont val="Arial"/>
        <sz val="11"/>
      </rPr>
      <t xml:space="preserve">MDM-260520</t>
    </r>
    <r>
      <rPr>
        <color rgb="FF7F7F7F"/>
        <rFont val="宋体"/>
        <sz val="11"/>
      </rPr>
      <t xml:space="preserve">》安装安装</t>
    </r>
    <r>
      <rPr>
        <color rgb="FF7F7F7F"/>
        <rFont val="Arial"/>
        <sz val="11"/>
      </rPr>
      <t xml:space="preserve">3</t>
    </r>
    <r>
      <rPr>
        <color rgb="FF7F7F7F"/>
        <rFont val="宋体"/>
        <sz val="11"/>
      </rPr>
      <t xml:space="preserve">公斤负载，完成</t>
    </r>
    <r>
      <rPr>
        <color rgb="FF7F7F7F"/>
        <rFont val="Arial"/>
        <sz val="11"/>
      </rPr>
      <t xml:space="preserve">7</t>
    </r>
    <r>
      <rPr>
        <color rgb="FF7F7F7F"/>
        <rFont val="宋体"/>
        <sz val="11"/>
      </rPr>
      <t xml:space="preserve">轴</t>
    </r>
    <r>
      <rPr>
        <color rgb="FF7F7F7F"/>
        <rFont val="Arial"/>
        <sz val="11"/>
      </rPr>
      <t xml:space="preserve">HE3</t>
    </r>
    <r>
      <rPr>
        <color rgb="FF7F7F7F"/>
        <rFont val="宋体"/>
        <sz val="11"/>
      </rPr>
      <t xml:space="preserve">机器人带载</t>
    </r>
    <r>
      <rPr>
        <color rgb="FF7F7F7F"/>
        <rFont val="Arial"/>
        <sz val="11"/>
      </rPr>
      <t xml:space="preserve">PID</t>
    </r>
    <r>
      <rPr>
        <color rgb="FF7F7F7F"/>
        <rFont val="宋体"/>
        <sz val="11"/>
      </rPr>
      <t xml:space="preserve">调试，目前机器人空载，满载运行过程中都无明显抖动了。</t>
    </r>
  </si>
  <si>
    <t>配置文件</t>
  </si>
  <si>
    <r>
      <rPr>
        <color rgb="FF7F7F7F"/>
        <rFont val="Arial"/>
        <sz val="11"/>
      </rPr>
      <t xml:space="preserve">MDM-260520</t>
    </r>
    <r>
      <rPr>
        <color rgb="FF7F7F7F"/>
        <rFont val="宋体"/>
        <sz val="11"/>
      </rPr>
      <t xml:space="preserve">》</t>
    </r>
    <r>
      <rPr>
        <color rgb="FF7F7F7F"/>
        <rFont val="Arial"/>
        <sz val="11"/>
      </rPr>
      <t xml:space="preserve">HE3</t>
    </r>
    <r>
      <rPr>
        <color rgb="FF7F7F7F"/>
        <rFont val="宋体"/>
        <sz val="11"/>
      </rPr>
      <t xml:space="preserve">配置文件已整理完成</t>
    </r>
  </si>
  <si>
    <r>
      <rPr>
        <b/>
        <color rgb="FF7F7F7F"/>
        <rFont val="宋体"/>
        <sz val="11"/>
      </rPr>
      <t xml:space="preserve">【里程碑】完成样机配置文件</t>
    </r>
  </si>
  <si>
    <r>
      <rPr>
        <color rgb="FF000000"/>
        <rFont val="Arial"/>
        <sz val="11"/>
      </rPr>
      <t xml:space="preserve">HE3</t>
    </r>
    <r>
      <rPr>
        <color rgb="FF000000"/>
        <rFont val="宋体"/>
        <sz val="11"/>
      </rPr>
      <t xml:space="preserve">样机整机测试（</t>
    </r>
    <r>
      <rPr>
        <color rgb="FF000000"/>
        <rFont val="Arial"/>
        <sz val="11"/>
      </rPr>
      <t xml:space="preserve">7</t>
    </r>
    <r>
      <rPr>
        <color rgb="FF000000"/>
        <rFont val="宋体"/>
        <sz val="11"/>
      </rPr>
      <t xml:space="preserve">轴）</t>
    </r>
  </si>
  <si>
    <r>
      <rPr>
        <color rgb="FF7F7F7F"/>
        <rFont val="宋体"/>
        <sz val="11"/>
      </rPr>
      <t xml:space="preserve">杆长标定</t>
    </r>
  </si>
  <si>
    <r>
      <rPr>
        <color rgb="FF7F7F7F"/>
        <rFont val="宋体"/>
        <sz val="11"/>
      </rPr>
      <t xml:space="preserve">毛德明</t>
    </r>
    <r>
      <rPr>
        <color rgb="FF7F7F7F"/>
        <rFont val="Arial"/>
        <sz val="11"/>
      </rPr>
      <t xml:space="preserve">/</t>
    </r>
    <r>
      <rPr>
        <color rgb="FF7F7F7F"/>
        <rFont val="宋体"/>
        <sz val="11"/>
      </rPr>
      <t xml:space="preserve">车拓鑫</t>
    </r>
  </si>
  <si>
    <t>2026/6/E</t>
  </si>
  <si>
    <r>
      <rPr>
        <color rgb="FF7F7F7F"/>
        <rFont val="Arial, sans-serif"/>
        <sz val="11"/>
      </rPr>
      <t xml:space="preserve">MDM-260623</t>
    </r>
    <r>
      <rPr>
        <color rgb="FF7F7F7F"/>
        <rFont val="宋体"/>
        <sz val="11"/>
      </rPr>
      <t xml:space="preserve">》已完成。</t>
    </r>
  </si>
  <si>
    <r>
      <rPr>
        <color rgb="FF7F7F7F"/>
        <rFont val="宋体"/>
        <sz val="11"/>
      </rPr>
      <t xml:space="preserve">关节运动</t>
    </r>
  </si>
  <si>
    <r>
      <rPr>
        <color rgb="FF7F7F7F"/>
        <rFont val="宋体"/>
        <sz val="11"/>
      </rPr>
      <t xml:space="preserve">直线运动</t>
    </r>
  </si>
  <si>
    <r>
      <rPr>
        <color rgb="FF7F7F7F"/>
        <rFont val="Arial, sans-serif"/>
        <sz val="11"/>
      </rPr>
      <t xml:space="preserve">MDM-260623</t>
    </r>
    <r>
      <rPr>
        <color rgb="FF7F7F7F"/>
        <rFont val="宋体"/>
        <sz val="11"/>
      </rPr>
      <t xml:space="preserve">》此前运行直线轨迹有异常，最新的</t>
    </r>
    <r>
      <rPr>
        <color rgb="FF7F7F7F"/>
        <rFont val="Arial, sans-serif"/>
        <sz val="11"/>
      </rPr>
      <t xml:space="preserve">elf</t>
    </r>
    <r>
      <rPr>
        <color rgb="FF7F7F7F"/>
        <rFont val="宋体"/>
        <sz val="11"/>
      </rPr>
      <t xml:space="preserve">文件还没验证。</t>
    </r>
  </si>
  <si>
    <r>
      <rPr>
        <color rgb="FF7F7F7F"/>
        <rFont val="宋体"/>
        <sz val="11"/>
      </rPr>
      <t xml:space="preserve">上电数据</t>
    </r>
  </si>
  <si>
    <r>
      <rPr>
        <color rgb="FF7F7F7F"/>
        <rFont val="Arial, sans-serif"/>
        <sz val="11"/>
      </rPr>
      <t xml:space="preserve">MDM-260623</t>
    </r>
    <r>
      <rPr>
        <color rgb="FF7F7F7F"/>
        <rFont val="宋体"/>
        <sz val="11"/>
      </rPr>
      <t xml:space="preserve">》上电数据采集已完成。</t>
    </r>
  </si>
  <si>
    <r>
      <rPr>
        <color rgb="FF7F7F7F"/>
        <rFont val="宋体"/>
        <sz val="11"/>
      </rPr>
      <t xml:space="preserve">急停数据</t>
    </r>
  </si>
  <si>
    <r>
      <rPr>
        <color rgb="FF7F7F7F"/>
        <rFont val="Arial, sans-serif"/>
        <sz val="11"/>
      </rPr>
      <t xml:space="preserve">MDM-260623</t>
    </r>
    <r>
      <rPr>
        <color rgb="FF7F7F7F"/>
        <rFont val="宋体"/>
        <sz val="11"/>
      </rPr>
      <t xml:space="preserve">》等直线运动轨迹验证后再测此项。</t>
    </r>
  </si>
  <si>
    <r>
      <rPr>
        <b/>
        <color rgb="FF7F7F7F"/>
        <rFont val="宋体"/>
        <sz val="11"/>
      </rPr>
      <t xml:space="preserve">【里程碑】样机测试完成，制定下一步优化方案</t>
    </r>
  </si>
  <si>
    <t>CZY-260616》在二代样机上继续测试</t>
  </si>
  <si>
    <r>
      <rPr>
        <b/>
        <color rgb="FF000000"/>
        <rFont val="宋体"/>
        <sz val="11"/>
      </rPr>
      <t xml:space="preserve">【里程碑】</t>
    </r>
    <r>
      <rPr>
        <b/>
        <color rgb="FF000000"/>
        <rFont val="Arial"/>
        <sz val="11"/>
      </rPr>
      <t xml:space="preserve">CDR</t>
    </r>
    <r>
      <rPr>
        <b/>
        <color rgb="FF000000"/>
        <rFont val="宋体"/>
        <sz val="11"/>
      </rPr>
      <t xml:space="preserve">阶段评审</t>
    </r>
  </si>
  <si>
    <r>
      <rPr>
        <color rgb="FF000000"/>
        <rFont val="Arial"/>
        <sz val="11"/>
      </rPr>
      <t xml:space="preserve">2026/7/15
</t>
    </r>
    <r>
      <rPr>
        <color rgb="FF7F7F7F"/>
        <rFont val="Arial"/>
        <sz val="11"/>
      </rPr>
      <t xml:space="preserve">2026/6/30</t>
    </r>
  </si>
  <si>
    <r>
      <rPr>
        <color rgb="FF000000"/>
        <rFont val="Arial, sans-serif"/>
        <sz val="11"/>
      </rPr>
      <t xml:space="preserve">CZY-260630</t>
    </r>
    <r>
      <rPr>
        <color rgb="FF000000"/>
        <rFont val="宋体"/>
        <sz val="11"/>
      </rPr>
      <t xml:space="preserve">》已完成</t>
    </r>
    <r>
      <rPr>
        <color rgb="FF000000"/>
        <rFont val="Arial, sans-serif"/>
        <sz val="11"/>
      </rPr>
      <t xml:space="preserve">CDR</t>
    </r>
    <r>
      <rPr>
        <color rgb="FF000000"/>
        <rFont val="宋体"/>
        <sz val="11"/>
      </rPr>
      <t xml:space="preserve">评审资料待审核。</t>
    </r>
    <r>
      <rPr>
        <color rgb="FF000000"/>
        <rFont val="Arial, sans-serif"/>
        <sz val="11"/>
      </rPr>
      <t xml:space="preserve">
</t>
    </r>
    <r>
      <rPr>
        <color rgb="FF7F7F7F"/>
        <rFont val="Arial, sans-serif"/>
        <sz val="11"/>
      </rPr>
      <t xml:space="preserve">CZY-260616</t>
    </r>
    <r>
      <rPr>
        <color rgb="FF7F7F7F"/>
        <rFont val="宋体"/>
        <sz val="11"/>
      </rPr>
      <t xml:space="preserve">》目前优先完成弓叶订单交付和</t>
    </r>
    <r>
      <rPr>
        <color rgb="FF7F7F7F"/>
        <rFont val="Arial, sans-serif"/>
        <sz val="11"/>
      </rPr>
      <t xml:space="preserve">TH5</t>
    </r>
    <r>
      <rPr>
        <color rgb="FF7F7F7F"/>
        <rFont val="宋体"/>
        <sz val="11"/>
      </rPr>
      <t xml:space="preserve">结构设计。</t>
    </r>
  </si>
  <si>
    <r>
      <rPr>
        <color rgb="FF000000"/>
        <rFont val="Arial"/>
        <sz val="11"/>
      </rPr>
      <t xml:space="preserve"> FDR </t>
    </r>
    <r>
      <rPr>
        <color rgb="FF000000"/>
        <rFont val="宋体"/>
        <sz val="11"/>
      </rPr>
      <t xml:space="preserve">阶段任务</t>
    </r>
  </si>
  <si>
    <r>
      <rPr>
        <color rgb="FF000000"/>
        <rFont val="Arial"/>
        <sz val="11"/>
      </rPr>
      <t xml:space="preserve">FDR</t>
    </r>
    <r>
      <rPr>
        <color rgb="FF000000"/>
        <rFont val="宋体"/>
        <sz val="11"/>
      </rPr>
      <t xml:space="preserve">阶段一：弓叶订单交付</t>
    </r>
    <r>
      <rPr>
        <color rgb="FF000000"/>
        <rFont val="等线"/>
        <sz val="12"/>
      </rPr>
      <t xml:space="preserve">
</t>
    </r>
    <r>
      <rPr>
        <color rgb="FF000000"/>
        <rFont val="宋体"/>
        <sz val="11"/>
      </rPr>
      <t xml:space="preserve">时间节点：</t>
    </r>
    <r>
      <rPr>
        <color rgb="FF000000"/>
        <rFont val="Arial"/>
        <sz val="11"/>
      </rPr>
      <t xml:space="preserve">2026/6/23</t>
    </r>
  </si>
  <si>
    <t>长交期零部件采购</t>
  </si>
  <si>
    <t>模组采购</t>
  </si>
  <si>
    <r>
      <rPr>
        <color rgb="FF7E7F7F"/>
        <rFont val="Arial"/>
        <sz val="11"/>
      </rPr>
      <t xml:space="preserve">CZY-260509</t>
    </r>
    <r>
      <rPr>
        <color rgb="FF7E7F7F"/>
        <rFont val="宋体"/>
        <sz val="11"/>
      </rPr>
      <t xml:space="preserve">》和文容沟通，伟达立那边</t>
    </r>
    <r>
      <rPr>
        <color rgb="FF7E7F7F"/>
        <rFont val="Arial"/>
        <sz val="11"/>
      </rPr>
      <t xml:space="preserve">52</t>
    </r>
    <r>
      <rPr>
        <color rgb="FF7E7F7F"/>
        <rFont val="宋体"/>
        <sz val="11"/>
      </rPr>
      <t xml:space="preserve">模组和</t>
    </r>
    <r>
      <rPr>
        <color rgb="FF7E7F7F"/>
        <rFont val="Arial"/>
        <sz val="11"/>
      </rPr>
      <t xml:space="preserve">90</t>
    </r>
    <r>
      <rPr>
        <color rgb="FF7E7F7F"/>
        <rFont val="宋体"/>
        <sz val="11"/>
      </rPr>
      <t xml:space="preserve">模组有短款的库存，性能一致，长度有区别。加急的话五月底应该可以到位。</t>
    </r>
    <r>
      <rPr>
        <color rgb="FF000000"/>
        <rFont val="等线"/>
        <sz val="12"/>
      </rPr>
      <t xml:space="preserve">
</t>
    </r>
    <r>
      <rPr>
        <color rgb="FF7E7F7F"/>
        <rFont val="Arial"/>
        <sz val="11"/>
      </rPr>
      <t xml:space="preserve">CZY-260506</t>
    </r>
    <r>
      <rPr>
        <color rgb="FF7E7F7F"/>
        <rFont val="宋体"/>
        <sz val="11"/>
      </rPr>
      <t xml:space="preserve">》模组交期已经要</t>
    </r>
    <r>
      <rPr>
        <color rgb="FF7E7F7F"/>
        <rFont val="Arial"/>
        <sz val="11"/>
      </rPr>
      <t xml:space="preserve">45</t>
    </r>
    <r>
      <rPr>
        <color rgb="FF7E7F7F"/>
        <rFont val="宋体"/>
        <sz val="11"/>
      </rPr>
      <t xml:space="preserve">天了</t>
    </r>
  </si>
  <si>
    <t>电控柜核心物料采购</t>
  </si>
  <si>
    <r>
      <rPr>
        <color rgb="FF7E7F7F"/>
        <rFont val="宋体"/>
        <sz val="11"/>
      </rPr>
      <t xml:space="preserve">LZR-260518》长交期物料5/12已下单，电控柜图纸已审核完成，今天发出给采购下单。</t>
    </r>
    <r>
      <rPr>
        <color rgb="FF000000"/>
        <rFont val="宋体"/>
        <sz val="12"/>
      </rPr>
      <t xml:space="preserve">
</t>
    </r>
    <r>
      <rPr>
        <color rgb="FF7E7F7F"/>
        <rFont val="宋体"/>
        <sz val="11"/>
      </rPr>
      <t xml:space="preserve">CZY-260506》MS6电控柜尚未导入正式产品发布，PCBA与电源交期四周，其他电气物料两周</t>
    </r>
  </si>
  <si>
    <t>示教器采购</t>
  </si>
  <si>
    <r>
      <rPr>
        <color rgb="FF7E7F7F"/>
        <rFont val="Arial"/>
        <sz val="11"/>
      </rPr>
      <t xml:space="preserve">CZY-260506</t>
    </r>
    <r>
      <rPr>
        <color rgb="FF7E7F7F"/>
        <rFont val="宋体"/>
        <sz val="11"/>
      </rPr>
      <t xml:space="preserve">》目前有</t>
    </r>
    <r>
      <rPr>
        <color rgb="FF7E7F7F"/>
        <rFont val="Arial"/>
        <sz val="11"/>
      </rPr>
      <t xml:space="preserve">20</t>
    </r>
    <r>
      <rPr>
        <color rgb="FF7E7F7F"/>
        <rFont val="宋体"/>
        <sz val="11"/>
      </rPr>
      <t xml:space="preserve">套库存</t>
    </r>
  </si>
  <si>
    <r>
      <rPr>
        <color rgb="FF7E7F7F"/>
        <rFont val="Arial"/>
        <sz val="11"/>
      </rPr>
      <t xml:space="preserve">Comm-E</t>
    </r>
    <r>
      <rPr>
        <color rgb="FF7E7F7F"/>
        <rFont val="宋体"/>
        <sz val="11"/>
      </rPr>
      <t xml:space="preserve">采购</t>
    </r>
  </si>
  <si>
    <t>曾喜梅</t>
  </si>
  <si>
    <t>【里程碑】长交期物料下单完成</t>
  </si>
  <si>
    <r>
      <rPr>
        <color rgb="FF7E7F7F"/>
        <rFont val="宋体"/>
        <sz val="11"/>
      </rPr>
      <t xml:space="preserve">陈真宇</t>
    </r>
  </si>
  <si>
    <r>
      <rPr>
        <color rgb="FF7E7F7F"/>
        <rFont val="Arial"/>
        <sz val="11"/>
      </rPr>
      <t xml:space="preserve">HE3 7</t>
    </r>
    <r>
      <rPr>
        <color rgb="FF7E7F7F"/>
        <rFont val="宋体"/>
        <sz val="11"/>
      </rPr>
      <t xml:space="preserve">轴设计优化</t>
    </r>
  </si>
  <si>
    <r>
      <rPr>
        <color rgb="FF7E7F7F"/>
        <rFont val="宋体"/>
        <sz val="11"/>
      </rPr>
      <t xml:space="preserve">样机密封设计方案</t>
    </r>
    <r>
      <rPr>
        <color rgb="FF7E7F7F"/>
        <rFont val="Arial"/>
        <sz val="11"/>
      </rPr>
      <t xml:space="preserve"> </t>
    </r>
  </si>
  <si>
    <r>
      <rPr>
        <color rgb="FF7E7F7F"/>
        <rFont val="宋体"/>
        <sz val="11"/>
      </rPr>
      <t xml:space="preserve">样机内部走线空间优化</t>
    </r>
  </si>
  <si>
    <r>
      <rPr>
        <color rgb="FF7E7F7F"/>
        <rFont val="Arial"/>
        <sz val="11"/>
      </rPr>
      <t xml:space="preserve">CZY-260506</t>
    </r>
    <r>
      <rPr>
        <color rgb="FF7E7F7F"/>
        <rFont val="宋体"/>
        <sz val="11"/>
      </rPr>
      <t xml:space="preserve">》目前线缆安装后存在突起，影响端盖安装。</t>
    </r>
  </si>
  <si>
    <r>
      <rPr>
        <color rgb="FF7E7F7F"/>
        <rFont val="宋体"/>
        <sz val="11"/>
      </rPr>
      <t xml:space="preserve">样机内部安装扳手空间优化</t>
    </r>
  </si>
  <si>
    <r>
      <rPr>
        <color rgb="FF7E7F7F"/>
        <rFont val="Arial"/>
        <sz val="11"/>
      </rPr>
      <t xml:space="preserve">CZY-260506</t>
    </r>
    <r>
      <rPr>
        <color rgb="FF7E7F7F"/>
        <rFont val="宋体"/>
        <sz val="11"/>
      </rPr>
      <t xml:space="preserve">》目前构型对于生产安装有一定难度，需要重新优化内部空间方便安装，或者设计安装工装</t>
    </r>
  </si>
  <si>
    <r>
      <rPr>
        <color rgb="FF7E7F7F"/>
        <rFont val="宋体"/>
        <sz val="11"/>
      </rPr>
      <t xml:space="preserve">确认线缆类型、长度</t>
    </r>
  </si>
  <si>
    <r>
      <rPr>
        <color rgb="FF7E7F7F"/>
        <rFont val="宋体"/>
        <sz val="11"/>
      </rPr>
      <t xml:space="preserve">赖周荣</t>
    </r>
  </si>
  <si>
    <t>LZR-260518》线缆类型以及长度确认已完成。</t>
  </si>
  <si>
    <r>
      <rPr>
        <color rgb="FF7E7F7F"/>
        <rFont val="宋体"/>
        <sz val="11"/>
      </rPr>
      <t xml:space="preserve">确认电气元件、接头</t>
    </r>
  </si>
  <si>
    <t>LZR-260518》电气元件、接头确认已完成。</t>
  </si>
  <si>
    <r>
      <rPr>
        <color rgb="FF7E7F7F"/>
        <rFont val="宋体"/>
        <sz val="11"/>
      </rPr>
      <t xml:space="preserve">机械臂本体接线图输出</t>
    </r>
  </si>
  <si>
    <t>LZR-260518》HE3B本体电气图纸上周已审核完成并下单。</t>
  </si>
  <si>
    <t>电控柜原理图输出</t>
  </si>
  <si>
    <t>LZR-260518》电控柜原理图已完成。</t>
  </si>
  <si>
    <t>电气图纸输出</t>
  </si>
  <si>
    <r>
      <rPr>
        <color rgb="FF7E7F7F"/>
        <rFont val="Arial"/>
        <sz val="11"/>
      </rPr>
      <t xml:space="preserve">LZR-260518》电控柜图纸已审核完成，今天发出给采购下单。</t>
    </r>
    <r>
      <rPr>
        <color rgb="FF000000"/>
        <rFont val="等线"/>
        <sz val="12"/>
      </rPr>
      <t xml:space="preserve">
</t>
    </r>
    <r>
      <rPr>
        <color rgb="FF7E7F7F"/>
        <rFont val="Arial"/>
        <sz val="11"/>
      </rPr>
      <t xml:space="preserve">CZY-260515》图纸等待审核发布，下周一5/18可完成</t>
    </r>
    <r>
      <rPr>
        <color rgb="FF000000"/>
        <rFont val="等线"/>
        <sz val="12"/>
      </rPr>
      <t xml:space="preserve">
</t>
    </r>
    <r>
      <rPr>
        <color rgb="FF7E7F7F"/>
        <rFont val="Arial"/>
        <sz val="11"/>
      </rPr>
      <t xml:space="preserve">CZY-260507</t>
    </r>
    <r>
      <rPr>
        <i/>
        <color rgb="FF7E7F7F"/>
        <rFont val="宋体"/>
        <sz val="11"/>
      </rPr>
      <t xml:space="preserve">》需要涉及到</t>
    </r>
    <r>
      <rPr>
        <i/>
        <color rgb="FF7E7F7F"/>
        <rFont val="Arial"/>
        <sz val="11"/>
      </rPr>
      <t xml:space="preserve">COMM-E I/O</t>
    </r>
    <r>
      <rPr>
        <i/>
        <color rgb="FF7E7F7F"/>
        <rFont val="宋体"/>
        <sz val="11"/>
      </rPr>
      <t xml:space="preserve">映射重新定义，才能细化原理图</t>
    </r>
  </si>
  <si>
    <t>机械图纸输出</t>
  </si>
  <si>
    <r>
      <rPr>
        <color rgb="FF7E7F7F"/>
        <rFont val="宋体"/>
        <sz val="11"/>
      </rPr>
      <t xml:space="preserve">整机</t>
    </r>
    <r>
      <rPr>
        <color rgb="FF7E7F7F"/>
        <rFont val="Arial"/>
        <sz val="11"/>
      </rPr>
      <t xml:space="preserve">BOM</t>
    </r>
    <r>
      <rPr>
        <color rgb="FF7E7F7F"/>
        <rFont val="宋体"/>
        <sz val="11"/>
      </rPr>
      <t xml:space="preserve">导入</t>
    </r>
  </si>
  <si>
    <r>
      <rPr>
        <color rgb="FF7E7F7F"/>
        <rFont val="Arial"/>
        <sz val="11"/>
      </rPr>
      <t xml:space="preserve">CZY-260519</t>
    </r>
    <r>
      <rPr>
        <color rgb="FF7E7F7F"/>
        <rFont val="宋体"/>
        <sz val="11"/>
      </rPr>
      <t xml:space="preserve">》弓叶交付第一版作为临时</t>
    </r>
    <r>
      <rPr>
        <color rgb="FF7E7F7F"/>
        <rFont val="Arial"/>
        <sz val="11"/>
      </rPr>
      <t xml:space="preserve">BOM</t>
    </r>
    <r>
      <rPr>
        <color rgb="FF7E7F7F"/>
        <rFont val="宋体"/>
        <sz val="11"/>
      </rPr>
      <t xml:space="preserve">，已提供给生产</t>
    </r>
    <r>
      <rPr>
        <color rgb="FF7E7F7F"/>
        <rFont val="Arial"/>
        <sz val="11"/>
      </rPr>
      <t xml:space="preserve">
CZY-260518</t>
    </r>
    <r>
      <rPr>
        <color rgb="FF7E7F7F"/>
        <rFont val="宋体"/>
        <sz val="11"/>
      </rPr>
      <t xml:space="preserve">》</t>
    </r>
    <r>
      <rPr>
        <color rgb="FF7E7F7F"/>
        <rFont val="Arial"/>
        <sz val="11"/>
      </rPr>
      <t xml:space="preserve">BOM</t>
    </r>
    <r>
      <rPr>
        <color rgb="FF7E7F7F"/>
        <rFont val="宋体"/>
        <sz val="11"/>
      </rPr>
      <t xml:space="preserve">正在核对整理</t>
    </r>
  </si>
  <si>
    <r>
      <rPr>
        <b/>
        <color rgb="FF7E7F7F"/>
        <rFont val="宋体"/>
        <sz val="11"/>
      </rPr>
      <t xml:space="preserve">【里程碑】本体</t>
    </r>
    <r>
      <rPr>
        <b/>
        <color rgb="FF7E7F7F"/>
        <rFont val="Arial"/>
        <sz val="11"/>
      </rPr>
      <t xml:space="preserve"> + </t>
    </r>
    <r>
      <rPr>
        <b/>
        <color rgb="FF7E7F7F"/>
        <rFont val="宋体"/>
        <sz val="11"/>
      </rPr>
      <t xml:space="preserve">电控柜设计完成</t>
    </r>
  </si>
  <si>
    <r>
      <rPr>
        <color rgb="FF000000"/>
        <rFont val="宋体"/>
        <sz val="11"/>
      </rPr>
      <t xml:space="preserve">重点</t>
    </r>
    <r>
      <rPr>
        <color rgb="FF000000"/>
        <rFont val="Arial"/>
        <sz val="11"/>
      </rPr>
      <t xml:space="preserve"> Issues </t>
    </r>
    <r>
      <rPr>
        <color rgb="FF000000"/>
        <rFont val="宋体"/>
        <sz val="11"/>
      </rPr>
      <t xml:space="preserve">验证测试</t>
    </r>
  </si>
  <si>
    <t>ServoJ基本稳定性测试</t>
  </si>
  <si>
    <t>LJH-260528》已在客户现场解决</t>
  </si>
  <si>
    <t>ServoJ抗扰度测试</t>
  </si>
  <si>
    <t>关节超限安全反馈测试</t>
  </si>
  <si>
    <t>ServoJ边界保护测试</t>
  </si>
  <si>
    <t>整机精度测试</t>
  </si>
  <si>
    <t>LJH-260615》经过排查之后发现笛卡尔位姿是准确的，但是关节角度因为迭代的关系会也越来越偏。后面需要在迭代算法中进行优化限制其构型的变化，暂时没有时间来进行处理。
CZY-260508》需建华完成笛卡尔运动开发后才能进行精度测试，已移交给李润祥</t>
  </si>
  <si>
    <t>【里程碑】交付前 Issues 解决完成</t>
  </si>
  <si>
    <t>CZY-260615》已解决交期前Issues</t>
  </si>
  <si>
    <r>
      <rPr>
        <color rgb="FF000000"/>
        <rFont val="Arial"/>
        <sz val="11"/>
      </rPr>
      <t xml:space="preserve">HE3</t>
    </r>
    <r>
      <rPr>
        <color rgb="FF000000"/>
        <rFont val="宋体"/>
        <sz val="11"/>
      </rPr>
      <t xml:space="preserve">第一批</t>
    </r>
    <r>
      <rPr>
        <color rgb="FF000000"/>
        <rFont val="Arial"/>
        <sz val="11"/>
      </rPr>
      <t xml:space="preserve"> </t>
    </r>
    <r>
      <rPr>
        <color rgb="FF000000"/>
        <rFont val="宋体"/>
        <sz val="11"/>
      </rPr>
      <t xml:space="preserve">物料下单—机加形式，暂不考虑开模</t>
    </r>
  </si>
  <si>
    <t>优化后机械本体物料下单</t>
  </si>
  <si>
    <r>
      <rPr>
        <color rgb="FF7F7F7F"/>
        <rFont val="Arial"/>
        <sz val="11"/>
      </rPr>
      <t xml:space="preserve">CZY-260513</t>
    </r>
    <r>
      <rPr>
        <color rgb="FF7F7F7F"/>
        <rFont val="宋体"/>
        <sz val="11"/>
      </rPr>
      <t xml:space="preserve">》跟商务确认第一批按照</t>
    </r>
    <r>
      <rPr>
        <color rgb="FF7F7F7F"/>
        <rFont val="Arial"/>
        <sz val="11"/>
      </rPr>
      <t xml:space="preserve">23</t>
    </r>
    <r>
      <rPr>
        <color rgb="FF7F7F7F"/>
        <rFont val="宋体"/>
        <sz val="11"/>
      </rPr>
      <t xml:space="preserve">号交付</t>
    </r>
    <r>
      <rPr>
        <color rgb="FF7F7F7F"/>
        <rFont val="Arial"/>
        <sz val="11"/>
      </rPr>
      <t xml:space="preserve">8</t>
    </r>
    <r>
      <rPr>
        <color rgb="FF7F7F7F"/>
        <rFont val="宋体"/>
        <sz val="11"/>
      </rPr>
      <t xml:space="preserve">台，内容测试留</t>
    </r>
    <r>
      <rPr>
        <color rgb="FF7F7F7F"/>
        <rFont val="Arial"/>
        <sz val="11"/>
      </rPr>
      <t xml:space="preserve">7</t>
    </r>
    <r>
      <rPr>
        <color rgb="FF7F7F7F"/>
        <rFont val="宋体"/>
        <sz val="11"/>
      </rPr>
      <t xml:space="preserve">台，共</t>
    </r>
    <r>
      <rPr>
        <color rgb="FF7F7F7F"/>
        <rFont val="Arial"/>
        <sz val="11"/>
      </rPr>
      <t xml:space="preserve">15</t>
    </r>
    <r>
      <rPr>
        <color rgb="FF7F7F7F"/>
        <rFont val="宋体"/>
        <sz val="11"/>
      </rPr>
      <t xml:space="preserve">台</t>
    </r>
    <r>
      <rPr>
        <color rgb="FF7F7F7F"/>
        <rFont val="Arial"/>
        <sz val="11"/>
      </rPr>
      <t xml:space="preserve">
CZY-260512</t>
    </r>
    <r>
      <rPr>
        <color rgb="FF7F7F7F"/>
        <rFont val="宋体"/>
        <sz val="11"/>
      </rPr>
      <t xml:space="preserve">》加上</t>
    </r>
    <r>
      <rPr>
        <color rgb="FF7F7F7F"/>
        <rFont val="Arial"/>
        <sz val="11"/>
      </rPr>
      <t xml:space="preserve"> Octopus Demo </t>
    </r>
    <r>
      <rPr>
        <color rgb="FF7F7F7F"/>
        <rFont val="宋体"/>
        <sz val="11"/>
      </rPr>
      <t xml:space="preserve">的</t>
    </r>
    <r>
      <rPr>
        <color rgb="FF7F7F7F"/>
        <rFont val="Arial"/>
        <sz val="11"/>
      </rPr>
      <t xml:space="preserve"> 4 </t>
    </r>
    <r>
      <rPr>
        <color rgb="FF7F7F7F"/>
        <rFont val="宋体"/>
        <sz val="11"/>
      </rPr>
      <t xml:space="preserve">台，和研发测试需要的</t>
    </r>
    <r>
      <rPr>
        <color rgb="FF7F7F7F"/>
        <rFont val="Arial"/>
        <sz val="11"/>
      </rPr>
      <t xml:space="preserve"> 3 </t>
    </r>
    <r>
      <rPr>
        <color rgb="FF7F7F7F"/>
        <rFont val="宋体"/>
        <sz val="11"/>
      </rPr>
      <t xml:space="preserve">台，共计</t>
    </r>
    <r>
      <rPr>
        <color rgb="FF7F7F7F"/>
        <rFont val="Arial"/>
        <sz val="11"/>
      </rPr>
      <t xml:space="preserve">  17 </t>
    </r>
    <r>
      <rPr>
        <color rgb="FF7F7F7F"/>
        <rFont val="宋体"/>
        <sz val="11"/>
      </rPr>
      <t xml:space="preserve">台，优先满足弓叶的</t>
    </r>
    <r>
      <rPr>
        <color rgb="FF7F7F7F"/>
        <rFont val="Arial"/>
        <sz val="11"/>
      </rPr>
      <t xml:space="preserve"> 10 </t>
    </r>
    <r>
      <rPr>
        <color rgb="FF7F7F7F"/>
        <rFont val="宋体"/>
        <sz val="11"/>
      </rPr>
      <t xml:space="preserve">台机交付，优化包含第一代样机组装和测试过程中发现的一些装配困难、连接抖动的问题，进行一些结构上的优化</t>
    </r>
    <r>
      <rPr>
        <b/>
        <color rgb="FF7F7F7F"/>
        <rFont val="Arial"/>
        <sz val="11"/>
      </rPr>
      <t xml:space="preserve">
CS-260510</t>
    </r>
    <r>
      <rPr>
        <b/>
        <color rgb="FF7F7F7F"/>
        <rFont val="宋体-简"/>
        <sz val="11"/>
      </rPr>
      <t xml:space="preserve">》</t>
    </r>
    <r>
      <rPr>
        <color rgb="FF7F7F7F"/>
        <rFont val="宋体-简"/>
        <sz val="11"/>
      </rPr>
      <t xml:space="preserve">下单的台数是多少？</t>
    </r>
    <r>
      <rPr>
        <color rgb="FF7F7F7F"/>
        <rFont val="Arial"/>
        <sz val="11"/>
      </rPr>
      <t xml:space="preserve">“</t>
    </r>
    <r>
      <rPr>
        <color rgb="FF7F7F7F"/>
        <rFont val="宋体-简"/>
        <sz val="11"/>
      </rPr>
      <t xml:space="preserve">优化</t>
    </r>
    <r>
      <rPr>
        <color rgb="FF7F7F7F"/>
        <rFont val="Arial"/>
        <sz val="11"/>
      </rPr>
      <t xml:space="preserve">” </t>
    </r>
    <r>
      <rPr>
        <color rgb="FF7F7F7F"/>
        <rFont val="宋体-简"/>
        <sz val="11"/>
      </rPr>
      <t xml:space="preserve">包含了什么？</t>
    </r>
    <r>
      <rPr>
        <color rgb="FF7F7F7F"/>
        <rFont val="Arial"/>
        <sz val="11"/>
      </rPr>
      <t xml:space="preserve">
CZY-260508</t>
    </r>
    <r>
      <rPr>
        <color rgb="FF7F7F7F"/>
        <rFont val="宋体"/>
        <sz val="11"/>
      </rPr>
      <t xml:space="preserve">》再增加</t>
    </r>
    <r>
      <rPr>
        <color rgb="FF7F7F7F"/>
        <rFont val="Arial"/>
        <sz val="11"/>
      </rPr>
      <t xml:space="preserve">4</t>
    </r>
    <r>
      <rPr>
        <color rgb="FF7F7F7F"/>
        <rFont val="宋体"/>
        <sz val="11"/>
      </rPr>
      <t xml:space="preserve">台用做</t>
    </r>
    <r>
      <rPr>
        <color rgb="FF7F7F7F"/>
        <rFont val="Arial"/>
        <sz val="11"/>
      </rPr>
      <t xml:space="preserve">Octopus demo</t>
    </r>
    <r>
      <rPr>
        <color rgb="FF7F7F7F"/>
        <rFont val="宋体"/>
        <sz val="11"/>
      </rPr>
      <t xml:space="preserve">，另本次下单采用机加方式，因后续本体需要做工业设计优化因此暂不考虑开模</t>
    </r>
    <r>
      <rPr>
        <color rgb="FF7F7F7F"/>
        <rFont val="Arial"/>
        <sz val="11"/>
      </rPr>
      <t xml:space="preserve">
CZY-260506</t>
    </r>
    <r>
      <rPr>
        <color rgb="FF7F7F7F"/>
        <rFont val="宋体"/>
        <sz val="11"/>
      </rPr>
      <t xml:space="preserve">》目前计划下单</t>
    </r>
    <r>
      <rPr>
        <color rgb="FF7F7F7F"/>
        <rFont val="Arial"/>
        <sz val="11"/>
      </rPr>
      <t xml:space="preserve">13</t>
    </r>
    <r>
      <rPr>
        <color rgb="FF7F7F7F"/>
        <rFont val="宋体"/>
        <sz val="11"/>
      </rPr>
      <t xml:space="preserve">台，</t>
    </r>
    <r>
      <rPr>
        <color rgb="FF7F7F7F"/>
        <rFont val="Arial"/>
        <sz val="11"/>
      </rPr>
      <t xml:space="preserve">10</t>
    </r>
    <r>
      <rPr>
        <color rgb="FF7F7F7F"/>
        <rFont val="宋体"/>
        <sz val="11"/>
      </rPr>
      <t xml:space="preserve">作为订单交付，另外三台加上总部一台共四台，一台寿命测试、一台运动规划、一台做性能测试、一台做</t>
    </r>
    <r>
      <rPr>
        <color rgb="FF7F7F7F"/>
        <rFont val="Arial"/>
        <sz val="11"/>
      </rPr>
      <t xml:space="preserve">EMC</t>
    </r>
    <r>
      <rPr>
        <color rgb="FF7F7F7F"/>
        <rFont val="宋体"/>
        <sz val="11"/>
      </rPr>
      <t xml:space="preserve">测试或者其他验证测试，时间充足也会对其性能测试做对比。</t>
    </r>
  </si>
  <si>
    <t>电控柜电气物料下单</t>
  </si>
  <si>
    <t>【里程碑】机械和电气物料下单完成</t>
  </si>
  <si>
    <r>
      <rPr>
        <color rgb="FF7E7F7F"/>
        <rFont val="宋体"/>
        <sz val="11"/>
      </rPr>
      <t xml:space="preserve">陈真宇</t>
    </r>
    <r>
      <rPr>
        <color rgb="FF7E7F7F"/>
        <rFont val="Arial"/>
        <sz val="11"/>
      </rPr>
      <t xml:space="preserve">/</t>
    </r>
    <r>
      <rPr>
        <color rgb="FF7E7F7F"/>
        <rFont val="宋体"/>
        <sz val="11"/>
      </rPr>
      <t xml:space="preserve">赖周荣</t>
    </r>
  </si>
  <si>
    <r>
      <rPr>
        <color rgb="FF7E7F7F"/>
        <rFont val="Arial"/>
        <sz val="11"/>
      </rPr>
      <t xml:space="preserve">CZY-260518</t>
    </r>
    <r>
      <rPr>
        <color rgb="FF7E7F7F"/>
        <rFont val="宋体"/>
        <sz val="11"/>
      </rPr>
      <t xml:space="preserve">》机械电气图纸已全部下单
</t>
    </r>
    <r>
      <rPr>
        <color rgb="FF7E7F7F"/>
        <rFont val="Arial"/>
        <sz val="11"/>
      </rPr>
      <t xml:space="preserve">CZY-260515</t>
    </r>
    <r>
      <rPr>
        <color rgb="FF7E7F7F"/>
        <rFont val="宋体"/>
        <sz val="11"/>
      </rPr>
      <t xml:space="preserve">》图纸等待审核发布，下周一</t>
    </r>
    <r>
      <rPr>
        <color rgb="FF7E7F7F"/>
        <rFont val="Arial"/>
        <sz val="11"/>
      </rPr>
      <t xml:space="preserve">5/18</t>
    </r>
    <r>
      <rPr>
        <color rgb="FF7E7F7F"/>
        <rFont val="宋体"/>
        <sz val="11"/>
      </rPr>
      <t xml:space="preserve">可完成</t>
    </r>
  </si>
  <si>
    <t>包装设计</t>
  </si>
  <si>
    <t>产品型号子编码导入</t>
  </si>
  <si>
    <r>
      <rPr>
        <color rgb="FF7F7F7F"/>
        <rFont val="Arial"/>
        <sz val="11"/>
      </rPr>
      <t xml:space="preserve">CZY-260519</t>
    </r>
    <r>
      <rPr>
        <color rgb="FF7F7F7F"/>
        <rFont val="宋体"/>
        <sz val="11"/>
      </rPr>
      <t xml:space="preserve">》已将产品型号自编码提供给国华</t>
    </r>
  </si>
  <si>
    <t>配置文件版本确认</t>
  </si>
  <si>
    <t>CZY-260525》德明和楚杰已确认</t>
  </si>
  <si>
    <r>
      <rPr>
        <color rgb="FF7E7F7F"/>
        <rFont val="宋体"/>
        <sz val="11"/>
      </rPr>
      <t xml:space="preserve">包装方案确定</t>
    </r>
    <r>
      <rPr>
        <color rgb="FF7E7F7F"/>
        <rFont val="Arial"/>
        <sz val="11"/>
      </rPr>
      <t xml:space="preserve">&amp;</t>
    </r>
    <r>
      <rPr>
        <color rgb="FF7E7F7F"/>
        <rFont val="宋体"/>
        <sz val="11"/>
      </rPr>
      <t xml:space="preserve">包装设计出图</t>
    </r>
  </si>
  <si>
    <r>
      <rPr>
        <color rgb="FF7E7F7F"/>
        <rFont val="Arial"/>
        <sz val="11"/>
      </rPr>
      <t xml:space="preserve">CZY-260521</t>
    </r>
    <r>
      <rPr>
        <color rgb="FF7E7F7F"/>
        <rFont val="宋体"/>
        <sz val="11"/>
      </rPr>
      <t xml:space="preserve">》待料号审批</t>
    </r>
    <r>
      <rPr>
        <color rgb="FF7E7F7F"/>
        <rFont val="Arial"/>
        <sz val="11"/>
      </rPr>
      <t xml:space="preserve">
CZY-260520</t>
    </r>
    <r>
      <rPr>
        <color rgb="FF7E7F7F"/>
        <rFont val="宋体"/>
        <sz val="11"/>
      </rPr>
      <t xml:space="preserve">》包装方案模型已确定，预计明天整理好图纸外发</t>
    </r>
  </si>
  <si>
    <t>包装图纸外发</t>
  </si>
  <si>
    <r>
      <rPr>
        <color rgb="FF7E7F7F"/>
        <rFont val="宋体"/>
        <sz val="11"/>
      </rPr>
      <t xml:space="preserve">产品外包装铭牌</t>
    </r>
    <r>
      <rPr>
        <color rgb="FF7E7F7F"/>
        <rFont val="Arial"/>
        <sz val="11"/>
      </rPr>
      <t xml:space="preserve">&amp;</t>
    </r>
    <r>
      <rPr>
        <color rgb="FF7E7F7F"/>
        <rFont val="宋体"/>
        <sz val="11"/>
      </rPr>
      <t xml:space="preserve">序列标签确定</t>
    </r>
  </si>
  <si>
    <t>LJC-260525》完成外箱标贴与电控柜序列号标贴，链接“X:\05制造中心-SP\05-PIE制程\01 日常工作\02 产品文件\01 NPI文档\73 HE3\12.铭牌及包装标贴模板”。机器人铭牌还需研发提供模板。</t>
  </si>
  <si>
    <t>【里程碑】包装设计完成</t>
  </si>
  <si>
    <r>
      <rPr>
        <color rgb="FF7E7F7F"/>
        <rFont val="宋体"/>
        <sz val="11"/>
      </rPr>
      <t xml:space="preserve">陈真宇</t>
    </r>
    <r>
      <rPr>
        <color rgb="FF7E7F7F"/>
        <rFont val="Arial"/>
        <sz val="11"/>
      </rPr>
      <t xml:space="preserve">/</t>
    </r>
    <r>
      <rPr>
        <color rgb="FF7E7F7F"/>
        <rFont val="宋体"/>
        <sz val="11"/>
      </rPr>
      <t xml:space="preserve">吕金川</t>
    </r>
  </si>
  <si>
    <r>
      <rPr>
        <color rgb="FF000000"/>
        <rFont val="宋体"/>
        <sz val="11"/>
      </rPr>
      <t xml:space="preserve">产线搭建</t>
    </r>
    <r>
      <rPr>
        <color rgb="FF000000"/>
        <rFont val="Arial"/>
        <sz val="11"/>
      </rPr>
      <t xml:space="preserve"> &amp; </t>
    </r>
    <r>
      <rPr>
        <color rgb="FF000000"/>
        <rFont val="宋体"/>
        <sz val="11"/>
      </rPr>
      <t xml:space="preserve">生产资料准备</t>
    </r>
  </si>
  <si>
    <t>工装治具清单制定</t>
  </si>
  <si>
    <t>LJC-260516》更新初版工装治具清单，链接“X:\05制造中心-SP\05-PIE制程\01 日常工作\02 产品文件\01 NPI文档\73 HE3\03.设备，工装清单以及制作计划”。
LJC-260515》研发第3台样机（机械部分完成80%，电气部分未开，安排明天继续。），预计明天给出一版。</t>
  </si>
  <si>
    <t>辅料清单输出</t>
  </si>
  <si>
    <t>LJC-260516》更新初版辅料清单，链接“X:\05制造中心-SP\05-PIE制程\01 日常工作\02 产品文件\01 NPI文档\73 HE3\04.辅料清单”。
LJC-260515》研发第3台样机（机械部分完成80%，电气部分未开，安排明天继续。），预计明天给出一版。</t>
  </si>
  <si>
    <t>产品工艺流程图制定</t>
  </si>
  <si>
    <t>LJC-260516》参考CR1X，更新初版工艺流程图，链接“X:\05制造中心-SP\05-PIE制程\01 日常工作\02 产品文件\01 NPI文档\73 HE3\01.工艺流程图\01.visio可编辑版本”。</t>
  </si>
  <si>
    <t>产线搭建</t>
  </si>
  <si>
    <t>聂玉清</t>
  </si>
  <si>
    <t>LJC-260610》已全部安装。
LJC-260610》已安装两个，剩下3个明天继续。
LJC-260609》机架已回，明天安排安装到测试区。
LJC-260513》借用当前生产线，进行前期生产测试。</t>
  </si>
  <si>
    <t>编制生产工艺文件、作业指导书</t>
  </si>
  <si>
    <t>陈真宇/聂玉清</t>
  </si>
  <si>
    <t>LJC-260610》完成初版装配部分SOP，链接“X:\05制造中心-SP\05-PIE制程\01 日常工作\02 产品文件\01 NPI文档\73 HE3\06.作业指导书”。</t>
  </si>
  <si>
    <t>准备生产工具、工装夹具</t>
  </si>
  <si>
    <t>LJC-260610》工具部分借用生产，测试部分工装已采购回来。</t>
  </si>
  <si>
    <t>标准工时核定</t>
  </si>
  <si>
    <t>LJC-260616》更新初版标准工时，链接“X:\05制造中心-SP\05-PIE制程\01 日常工作\02 产品文件\01 NPI文档\73 HE3\08.标准工时&amp;工时节拍统计”。</t>
  </si>
  <si>
    <t>【里程碑】生产相关资料完成</t>
  </si>
  <si>
    <t>CZY-260616》生产相关资料已完成</t>
  </si>
  <si>
    <r>
      <rPr>
        <color rgb="FF000000"/>
        <rFont val="Arial"/>
        <sz val="11"/>
      </rPr>
      <t xml:space="preserve">Autotest </t>
    </r>
    <r>
      <rPr>
        <color rgb="FF000000"/>
        <rFont val="宋体"/>
        <sz val="11"/>
      </rPr>
      <t xml:space="preserve">开发 (阶段 #1)</t>
    </r>
  </si>
  <si>
    <t>机器人本体信息烧录适配</t>
  </si>
  <si>
    <t>范国华</t>
  </si>
  <si>
    <t>FGH-260603》目前还在等玉清录入 HE3-GY 的信息到 MES，才能进行验证。玉清反馈这两天将相关信息录入。</t>
  </si>
  <si>
    <t>模组参数对比</t>
  </si>
  <si>
    <t>FGH-260616》运控今天下午提供 IDN 指令的固件，但还没来及验证固件功能。
生产那边已经准备开始测试测试机器人了，为不影响生产对这部分的测试，与德明沟通，明天德明去百一指导 PIE 如何先用伟达力上位机操作完成此项测试的。
FGH-260611》建华评估预计 6 月 16 号可以提供 IDN 指令。
FGH-260608》目前在等建华提供“设置模组PID参数”的 23 项参数的 IDN 指令。
FGH-260603》目前还在等德明提供“模组参数对比”的各项参数以及标准值。</t>
  </si>
  <si>
    <t>工作空间检测</t>
  </si>
  <si>
    <t>FGH-260603》已在 Autotest 中加上对应的测试项，
但目前还没机台验证，待用机台验证(德明反馈唯一的一台机模组电源坏了，预计6/4才能修好)</t>
  </si>
  <si>
    <t>磨合测试</t>
  </si>
  <si>
    <t>快捷按钮功能</t>
  </si>
  <si>
    <t>Jog 控制</t>
  </si>
  <si>
    <t>XYZ重复定位精度测试</t>
  </si>
  <si>
    <t>FGH-260616》1、处理德明反馈 XYZ 重复定位精度测试时，执行点位失败的问题。
2、处理德明反馈 XYZ 重复定位精度测试时，采集千分表数据超时的问题，发现是有一条千分表数据线有问题导致的。
FGH-260611》建华评估预计 6 月 16 号可以修复"HE3-GY 机器人无法走笛卡尔点位的问题"。
FGH-260608》"HE3-GY 机器人无法走笛卡尔点位的问题"，运控还在修复中。
FGH-260603》XYZ重复定位精度测试需要机器人走笛卡尔点位，但是了解到 HE3-GY 机器人存在走笛卡尔点位的问题，需要运控尽快把此问题修复。</t>
  </si>
  <si>
    <t>I/O 测试</t>
  </si>
  <si>
    <t>位姿校准(激光跟踪仪)</t>
  </si>
  <si>
    <t>FGH-260603》已在 Autotest 中加上对应的测试项，
但目前还没机台验证，待用机台验证(德明反馈唯一的一台机模组电源坏了，预计6/4才能修好)
CZY-260515》绝对定位精度抽三台测试</t>
  </si>
  <si>
    <r>
      <rPr>
        <b/>
        <color rgb="FFBFBFBF"/>
        <rFont val="宋体"/>
        <sz val="11"/>
      </rPr>
      <t xml:space="preserve">【里程碑】</t>
    </r>
    <r>
      <rPr>
        <b/>
        <color rgb="FFBFBFBF"/>
        <rFont val="Arial"/>
        <sz val="11"/>
      </rPr>
      <t xml:space="preserve">Autotest</t>
    </r>
    <r>
      <rPr>
        <b/>
        <color rgb="FFBFBFBF"/>
        <rFont val="宋体"/>
        <sz val="11"/>
      </rPr>
      <t xml:space="preserve">开发 (阶段 #1) 完成</t>
    </r>
  </si>
  <si>
    <r>
      <rPr>
        <color rgb="FFBFBFBF"/>
        <rFont val="宋体"/>
        <sz val="11"/>
      </rPr>
      <t xml:space="preserve">范国华</t>
    </r>
  </si>
  <si>
    <r>
      <rPr>
        <color rgb="FF000000"/>
        <rFont val="Arial"/>
        <sz val="11"/>
      </rPr>
      <t xml:space="preserve">Autotest </t>
    </r>
    <r>
      <rPr>
        <color rgb="FF000000"/>
        <rFont val="宋体"/>
        <sz val="11"/>
      </rPr>
      <t xml:space="preserve">开发 (阶段 #2)</t>
    </r>
  </si>
  <si>
    <t>设置模组PID参数</t>
  </si>
  <si>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指令修改</t>
    </r>
    <r>
      <rPr>
        <color rgb="FF000000"/>
        <rFont val="Arial"/>
        <sz val="11"/>
      </rPr>
      <t xml:space="preserve"> PID </t>
    </r>
    <r>
      <rPr>
        <color rgb="FF000000"/>
        <rFont val="宋体"/>
        <sz val="11"/>
      </rPr>
      <t xml:space="preserve">相关参数，没有效果，需要运控排查原因。
</t>
    </r>
    <r>
      <rPr>
        <color rgb="FF7F7F7F"/>
        <rFont val="Arial"/>
        <sz val="11"/>
      </rPr>
      <t xml:space="preserve">FGH-260618</t>
    </r>
    <r>
      <rPr>
        <color rgb="FF7F7F7F"/>
        <rFont val="宋体"/>
        <sz val="11"/>
      </rPr>
      <t xml:space="preserve">》写入功能还没验证完，待端午节后继续验证。
目前生产用伟达力上位机操作完成此项设置，暂不影响生产。
</t>
    </r>
    <r>
      <rPr>
        <color rgb="FF7F7F7F"/>
        <rFont val="Arial"/>
        <sz val="11"/>
      </rPr>
      <t xml:space="preserve">FGH-260616</t>
    </r>
    <r>
      <rPr>
        <color rgb="FF7F7F7F"/>
        <rFont val="宋体"/>
        <sz val="11"/>
      </rPr>
      <t xml:space="preserve">》运控今天下午提供</t>
    </r>
    <r>
      <rPr>
        <color rgb="FF7F7F7F"/>
        <rFont val="Arial"/>
        <sz val="11"/>
      </rPr>
      <t xml:space="preserve"> IDN </t>
    </r>
    <r>
      <rPr>
        <color rgb="FF7F7F7F"/>
        <rFont val="宋体"/>
        <sz val="11"/>
      </rPr>
      <t xml:space="preserve">指令的固件，但还没来及验证固件功能。
生产那边已经准备开始测试测试机器人了，为不影响生产对这部分的测试，与德明沟通，明天德明去百一指导</t>
    </r>
    <r>
      <rPr>
        <color rgb="FF7F7F7F"/>
        <rFont val="Arial"/>
        <sz val="11"/>
      </rPr>
      <t xml:space="preserve"> PIE </t>
    </r>
    <r>
      <rPr>
        <color rgb="FF7F7F7F"/>
        <rFont val="宋体"/>
        <sz val="11"/>
      </rPr>
      <t xml:space="preserve">如何先用伟达力上位机操作完成此项测试的。
</t>
    </r>
    <r>
      <rPr>
        <color rgb="FF7F7F7F"/>
        <rFont val="Arial"/>
        <sz val="11"/>
      </rPr>
      <t xml:space="preserve">FGH-260611</t>
    </r>
    <r>
      <rPr>
        <color rgb="FF7F7F7F"/>
        <rFont val="宋体"/>
        <sz val="11"/>
      </rPr>
      <t xml:space="preserve">》建华评估预计</t>
    </r>
    <r>
      <rPr>
        <color rgb="FF7F7F7F"/>
        <rFont val="Arial"/>
        <sz val="11"/>
      </rPr>
      <t xml:space="preserve"> 6 </t>
    </r>
    <r>
      <rPr>
        <color rgb="FF7F7F7F"/>
        <rFont val="宋体"/>
        <sz val="11"/>
      </rPr>
      <t xml:space="preserve">月</t>
    </r>
    <r>
      <rPr>
        <color rgb="FF7F7F7F"/>
        <rFont val="Arial"/>
        <sz val="11"/>
      </rPr>
      <t xml:space="preserve"> 16 </t>
    </r>
    <r>
      <rPr>
        <color rgb="FF7F7F7F"/>
        <rFont val="宋体"/>
        <sz val="11"/>
      </rPr>
      <t xml:space="preserve">号可以提供</t>
    </r>
    <r>
      <rPr>
        <color rgb="FF7F7F7F"/>
        <rFont val="Arial"/>
        <sz val="11"/>
      </rPr>
      <t xml:space="preserve"> IDN </t>
    </r>
    <r>
      <rPr>
        <color rgb="FF7F7F7F"/>
        <rFont val="宋体"/>
        <sz val="11"/>
      </rPr>
      <t xml:space="preserve">指令。
</t>
    </r>
    <r>
      <rPr>
        <color rgb="FF7F7F7F"/>
        <rFont val="Arial"/>
        <sz val="11"/>
      </rPr>
      <t xml:space="preserve">FGH-260608</t>
    </r>
    <r>
      <rPr>
        <color rgb="FF7F7F7F"/>
        <rFont val="宋体"/>
        <sz val="11"/>
      </rPr>
      <t xml:space="preserve">》目前在等建华提供</t>
    </r>
    <r>
      <rPr>
        <color rgb="FF7F7F7F"/>
        <rFont val="Arial"/>
        <sz val="11"/>
      </rPr>
      <t xml:space="preserve">“</t>
    </r>
    <r>
      <rPr>
        <color rgb="FF7F7F7F"/>
        <rFont val="宋体"/>
        <sz val="11"/>
      </rPr>
      <t xml:space="preserve">设置模组</t>
    </r>
    <r>
      <rPr>
        <color rgb="FF7F7F7F"/>
        <rFont val="Arial"/>
        <sz val="11"/>
      </rPr>
      <t xml:space="preserve">PID</t>
    </r>
    <r>
      <rPr>
        <color rgb="FF7F7F7F"/>
        <rFont val="宋体"/>
        <sz val="11"/>
      </rPr>
      <t xml:space="preserve">参数</t>
    </r>
    <r>
      <rPr>
        <color rgb="FF7F7F7F"/>
        <rFont val="Arial"/>
        <sz val="11"/>
      </rPr>
      <t xml:space="preserve">”</t>
    </r>
    <r>
      <rPr>
        <color rgb="FF7F7F7F"/>
        <rFont val="宋体"/>
        <sz val="11"/>
      </rPr>
      <t xml:space="preserve">的</t>
    </r>
    <r>
      <rPr>
        <color rgb="FF7F7F7F"/>
        <rFont val="Arial"/>
        <sz val="11"/>
      </rPr>
      <t xml:space="preserve"> 4 </t>
    </r>
    <r>
      <rPr>
        <color rgb="FF7F7F7F"/>
        <rFont val="宋体"/>
        <sz val="11"/>
      </rPr>
      <t xml:space="preserve">项参数的</t>
    </r>
    <r>
      <rPr>
        <color rgb="FF7F7F7F"/>
        <rFont val="Arial"/>
        <sz val="11"/>
      </rPr>
      <t xml:space="preserve"> IDN </t>
    </r>
    <r>
      <rPr>
        <color rgb="FF7F7F7F"/>
        <rFont val="宋体"/>
        <sz val="11"/>
      </rPr>
      <t xml:space="preserve">指令。
</t>
    </r>
    <r>
      <rPr>
        <color rgb="FF7F7F7F"/>
        <rFont val="Arial"/>
        <sz val="11"/>
      </rPr>
      <t xml:space="preserve">FGH-260603</t>
    </r>
    <r>
      <rPr>
        <color rgb="FF7F7F7F"/>
        <rFont val="宋体"/>
        <sz val="11"/>
      </rPr>
      <t xml:space="preserve">》目前还在等德明提供</t>
    </r>
    <r>
      <rPr>
        <color rgb="FF7F7F7F"/>
        <rFont val="Arial"/>
        <sz val="11"/>
      </rPr>
      <t xml:space="preserve">“</t>
    </r>
    <r>
      <rPr>
        <color rgb="FF7F7F7F"/>
        <rFont val="宋体"/>
        <sz val="11"/>
      </rPr>
      <t xml:space="preserve">设置模组</t>
    </r>
    <r>
      <rPr>
        <color rgb="FF7F7F7F"/>
        <rFont val="Arial"/>
        <sz val="11"/>
      </rPr>
      <t xml:space="preserve">PID</t>
    </r>
    <r>
      <rPr>
        <color rgb="FF7F7F7F"/>
        <rFont val="宋体"/>
        <sz val="11"/>
      </rPr>
      <t xml:space="preserve">参数</t>
    </r>
    <r>
      <rPr>
        <color rgb="FF7F7F7F"/>
        <rFont val="Arial"/>
        <sz val="11"/>
      </rPr>
      <t xml:space="preserve">”</t>
    </r>
    <r>
      <rPr>
        <color rgb="FF7F7F7F"/>
        <rFont val="宋体"/>
        <sz val="11"/>
      </rPr>
      <t xml:space="preserve">的各项参数以及标准值。
</t>
    </r>
    <r>
      <rPr>
        <color rgb="FF7F7F7F"/>
        <rFont val="Arial"/>
        <sz val="11"/>
      </rPr>
      <t xml:space="preserve">CZY-260513</t>
    </r>
    <r>
      <rPr>
        <color rgb="FF7F7F7F"/>
        <rFont val="宋体"/>
        <sz val="11"/>
      </rPr>
      <t xml:space="preserve">》</t>
    </r>
    <r>
      <rPr>
        <color rgb="FF7F7F7F"/>
        <rFont val="Arial"/>
        <sz val="11"/>
      </rPr>
      <t xml:space="preserve">1</t>
    </r>
    <r>
      <rPr>
        <color rgb="FF7F7F7F"/>
        <rFont val="宋体"/>
        <sz val="11"/>
      </rPr>
      <t xml:space="preserve">、</t>
    </r>
    <r>
      <rPr>
        <color rgb="FF7F7F7F"/>
        <rFont val="Arial"/>
        <sz val="11"/>
      </rPr>
      <t xml:space="preserve">MES </t>
    </r>
    <r>
      <rPr>
        <color rgb="FF7F7F7F"/>
        <rFont val="宋体"/>
        <sz val="11"/>
      </rPr>
      <t xml:space="preserve">需要录入增加一个新的机器人</t>
    </r>
    <r>
      <rPr>
        <color rgb="FF7F7F7F"/>
        <rFont val="Arial"/>
        <sz val="11"/>
      </rPr>
      <t xml:space="preserve"> </t>
    </r>
    <r>
      <rPr>
        <color rgb="FF7F7F7F"/>
        <rFont val="宋体"/>
        <sz val="11"/>
      </rPr>
      <t xml:space="preserve">型号</t>
    </r>
    <r>
      <rPr>
        <color rgb="FF7F7F7F"/>
        <rFont val="Arial"/>
        <sz val="11"/>
      </rPr>
      <t xml:space="preserve"> HE3</t>
    </r>
    <r>
      <rPr>
        <color rgb="FF7F7F7F"/>
        <rFont val="宋体"/>
        <sz val="11"/>
      </rPr>
      <t xml:space="preserve">，相应的</t>
    </r>
    <r>
      <rPr>
        <color rgb="FF7F7F7F"/>
        <rFont val="Arial"/>
        <sz val="11"/>
      </rPr>
      <t xml:space="preserve"> HE3 </t>
    </r>
    <r>
      <rPr>
        <color rgb="FF7F7F7F"/>
        <rFont val="宋体"/>
        <sz val="11"/>
      </rPr>
      <t xml:space="preserve">固化信息可以自动同步更新。
</t>
    </r>
    <r>
      <rPr>
        <color rgb="FF7F7F7F"/>
        <rFont val="Arial"/>
        <sz val="11"/>
      </rPr>
      <t xml:space="preserve">2</t>
    </r>
    <r>
      <rPr>
        <color rgb="FF7F7F7F"/>
        <rFont val="宋体"/>
        <sz val="11"/>
      </rPr>
      <t xml:space="preserve">、机器人本体信息烧录功能目前评估不需要修改，但会在在</t>
    </r>
    <r>
      <rPr>
        <color rgb="FF7F7F7F"/>
        <rFont val="Arial"/>
        <sz val="11"/>
      </rPr>
      <t xml:space="preserve">MES </t>
    </r>
    <r>
      <rPr>
        <color rgb="FF7F7F7F"/>
        <rFont val="宋体"/>
        <sz val="11"/>
      </rPr>
      <t xml:space="preserve">增加新型号后，配合验证一次，以确保信息无误。
</t>
    </r>
    <r>
      <rPr>
        <color rgb="FF7F7F7F"/>
        <rFont val="Arial"/>
        <sz val="11"/>
      </rPr>
      <t xml:space="preserve">CS-260512</t>
    </r>
    <r>
      <rPr>
        <color rgb="FF7F7F7F"/>
        <rFont val="宋体"/>
        <sz val="11"/>
      </rPr>
      <t xml:space="preserve">》答非所问，找暖和</t>
    </r>
    <r>
      <rPr>
        <color rgb="FF7F7F7F"/>
        <rFont val="Arial"/>
        <sz val="11"/>
      </rPr>
      <t xml:space="preserve">/</t>
    </r>
    <r>
      <rPr>
        <color rgb="FF7F7F7F"/>
        <rFont val="宋体"/>
        <sz val="11"/>
      </rPr>
      <t xml:space="preserve">国华讨论清楚固化讯息的烧录（主要是决定固化讯息的内容），这部分缺失了。
</t>
    </r>
    <r>
      <rPr>
        <color rgb="FF7F7F7F"/>
        <rFont val="Arial"/>
        <sz val="11"/>
      </rPr>
      <t xml:space="preserve">CZY-260512</t>
    </r>
    <r>
      <rPr>
        <color rgb="FF7F7F7F"/>
        <rFont val="宋体"/>
        <sz val="11"/>
      </rPr>
      <t xml:space="preserve">》这项是指</t>
    </r>
    <r>
      <rPr>
        <color rgb="FF7F7F7F"/>
        <rFont val="Arial"/>
        <sz val="11"/>
      </rPr>
      <t xml:space="preserve"> Autotest </t>
    </r>
    <r>
      <rPr>
        <color rgb="FF7F7F7F"/>
        <rFont val="宋体"/>
        <sz val="11"/>
      </rPr>
      <t xml:space="preserve">通过一些指令将</t>
    </r>
    <r>
      <rPr>
        <color rgb="FF7F7F7F"/>
        <rFont val="Arial"/>
        <sz val="11"/>
      </rPr>
      <t xml:space="preserve"> PID </t>
    </r>
    <r>
      <rPr>
        <color rgb="FF7F7F7F"/>
        <rFont val="宋体"/>
        <sz val="11"/>
      </rPr>
      <t xml:space="preserve">参数值写入到伟达力模组里面
</t>
    </r>
    <r>
      <rPr>
        <color rgb="FF7F7F7F"/>
        <rFont val="Arial"/>
        <sz val="11"/>
      </rPr>
      <t xml:space="preserve">CS-260510</t>
    </r>
    <r>
      <rPr>
        <color rgb="FF7F7F7F"/>
        <rFont val="宋体"/>
        <sz val="11"/>
      </rPr>
      <t xml:space="preserve">》所有机器人固化讯息相关设置？</t>
    </r>
  </si>
  <si>
    <t>零点标定适配</t>
  </si>
  <si>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指令对编码器值清零，没有效果，需要运控排查原因。
</t>
    </r>
    <r>
      <rPr>
        <color rgb="FF7F7F7F"/>
        <rFont val="Arial"/>
        <sz val="11"/>
      </rPr>
      <t xml:space="preserve">FGH-260618</t>
    </r>
    <r>
      <rPr>
        <color rgb="FF7F7F7F"/>
        <rFont val="宋体"/>
        <sz val="11"/>
      </rPr>
      <t xml:space="preserve">》清除伟达力模组的多圈值功能还没验证完，待端午节后后继续验证。
目前生产用伟达力上位机操作完成清除伟达力模组的多圈值的，配合现有</t>
    </r>
    <r>
      <rPr>
        <color rgb="FF7F7F7F"/>
        <rFont val="Arial"/>
        <sz val="11"/>
      </rPr>
      <t xml:space="preserve"> Autotest </t>
    </r>
    <r>
      <rPr>
        <color rgb="FF7F7F7F"/>
        <rFont val="宋体"/>
        <sz val="11"/>
      </rPr>
      <t xml:space="preserve">的现有零点标定功能完成零点标定，暂不影响生产。
</t>
    </r>
    <r>
      <rPr>
        <color rgb="FF7F7F7F"/>
        <rFont val="Arial"/>
        <sz val="11"/>
      </rPr>
      <t xml:space="preserve">FGH-260616</t>
    </r>
    <r>
      <rPr>
        <color rgb="FF7F7F7F"/>
        <rFont val="宋体"/>
        <sz val="11"/>
      </rPr>
      <t xml:space="preserve">》运控今天下午提供</t>
    </r>
    <r>
      <rPr>
        <color rgb="FF7F7F7F"/>
        <rFont val="Arial"/>
        <sz val="11"/>
      </rPr>
      <t xml:space="preserve"> IDN </t>
    </r>
    <r>
      <rPr>
        <color rgb="FF7F7F7F"/>
        <rFont val="宋体"/>
        <sz val="11"/>
      </rPr>
      <t xml:space="preserve">指令的固件，但还没来及验证固件功能。
生产那边已经准备开始测试测试机器人了，为不影响生产对这部分的测试，与德明沟通，明天德明去百一指导</t>
    </r>
    <r>
      <rPr>
        <color rgb="FF7F7F7F"/>
        <rFont val="Arial"/>
        <sz val="11"/>
      </rPr>
      <t xml:space="preserve"> PIE </t>
    </r>
    <r>
      <rPr>
        <color rgb="FF7F7F7F"/>
        <rFont val="宋体"/>
        <sz val="11"/>
      </rPr>
      <t xml:space="preserve">如何先用伟达力上位机操作清除伟达力模组的多圈值和单圈值，配合现有</t>
    </r>
    <r>
      <rPr>
        <color rgb="FF7F7F7F"/>
        <rFont val="Arial"/>
        <sz val="11"/>
      </rPr>
      <t xml:space="preserve"> Autotest </t>
    </r>
    <r>
      <rPr>
        <color rgb="FF7F7F7F"/>
        <rFont val="宋体"/>
        <sz val="11"/>
      </rPr>
      <t xml:space="preserve">的现有功能完成此项测试的。
</t>
    </r>
    <r>
      <rPr>
        <color rgb="FF7F7F7F"/>
        <rFont val="Arial"/>
        <sz val="11"/>
      </rPr>
      <t xml:space="preserve">FGH-260611</t>
    </r>
    <r>
      <rPr>
        <color rgb="FF7F7F7F"/>
        <rFont val="宋体"/>
        <sz val="11"/>
      </rPr>
      <t xml:space="preserve">》建华评估预计</t>
    </r>
    <r>
      <rPr>
        <color rgb="FF7F7F7F"/>
        <rFont val="Arial"/>
        <sz val="11"/>
      </rPr>
      <t xml:space="preserve"> 6 </t>
    </r>
    <r>
      <rPr>
        <color rgb="FF7F7F7F"/>
        <rFont val="宋体"/>
        <sz val="11"/>
      </rPr>
      <t xml:space="preserve">月</t>
    </r>
    <r>
      <rPr>
        <color rgb="FF7F7F7F"/>
        <rFont val="Arial"/>
        <sz val="11"/>
      </rPr>
      <t xml:space="preserve"> 16 </t>
    </r>
    <r>
      <rPr>
        <color rgb="FF7F7F7F"/>
        <rFont val="宋体"/>
        <sz val="11"/>
      </rPr>
      <t xml:space="preserve">号可以提供</t>
    </r>
    <r>
      <rPr>
        <color rgb="FF7F7F7F"/>
        <rFont val="Arial"/>
        <sz val="11"/>
      </rPr>
      <t xml:space="preserve"> IDN </t>
    </r>
    <r>
      <rPr>
        <color rgb="FF7F7F7F"/>
        <rFont val="宋体"/>
        <sz val="11"/>
      </rPr>
      <t xml:space="preserve">指令。
</t>
    </r>
    <r>
      <rPr>
        <color rgb="FF7F7F7F"/>
        <rFont val="Arial"/>
        <sz val="11"/>
      </rPr>
      <t xml:space="preserve">FGH-260610</t>
    </r>
    <r>
      <rPr>
        <color rgb="FF7F7F7F"/>
        <rFont val="宋体"/>
        <sz val="11"/>
      </rPr>
      <t xml:space="preserve">》目前在等建华提供</t>
    </r>
    <r>
      <rPr>
        <color rgb="FF7F7F7F"/>
        <rFont val="Arial"/>
        <sz val="11"/>
      </rPr>
      <t xml:space="preserve">"</t>
    </r>
    <r>
      <rPr>
        <color rgb="FF7F7F7F"/>
        <rFont val="宋体"/>
        <sz val="11"/>
      </rPr>
      <t xml:space="preserve">编码器调零开关</t>
    </r>
    <r>
      <rPr>
        <color rgb="FF7F7F7F"/>
        <rFont val="Arial"/>
        <sz val="11"/>
      </rPr>
      <t xml:space="preserve">"</t>
    </r>
    <r>
      <rPr>
        <color rgb="FF7F7F7F"/>
        <rFont val="宋体"/>
        <sz val="11"/>
      </rPr>
      <t xml:space="preserve">的</t>
    </r>
    <r>
      <rPr>
        <color rgb="FF7F7F7F"/>
        <rFont val="Arial"/>
        <sz val="11"/>
      </rPr>
      <t xml:space="preserve"> IDN </t>
    </r>
    <r>
      <rPr>
        <color rgb="FF7F7F7F"/>
        <rFont val="宋体"/>
        <sz val="11"/>
      </rPr>
      <t xml:space="preserve">指令</t>
    </r>
    <r>
      <rPr>
        <color rgb="FF7F7F7F"/>
        <rFont val="Arial"/>
        <sz val="11"/>
      </rPr>
      <t xml:space="preserve">(</t>
    </r>
    <r>
      <rPr>
        <color rgb="FF7F7F7F"/>
        <rFont val="宋体"/>
        <sz val="11"/>
      </rPr>
      <t xml:space="preserve">用于清除伟达力模组的多圈值和单圈值</t>
    </r>
    <r>
      <rPr>
        <color rgb="FF7F7F7F"/>
        <rFont val="Arial"/>
        <sz val="11"/>
      </rPr>
      <t xml:space="preserve">)</t>
    </r>
    <r>
      <rPr>
        <color rgb="FF7F7F7F"/>
        <rFont val="宋体"/>
        <sz val="11"/>
      </rPr>
      <t xml:space="preserve">。</t>
    </r>
  </si>
  <si>
    <t>拉线编码器标定杆长</t>
  </si>
  <si>
    <r>
      <rPr>
        <color rgb="FF000000"/>
        <rFont val="Arial"/>
        <sz val="11"/>
      </rPr>
      <t xml:space="preserve">CZY-260616</t>
    </r>
    <r>
      <rPr>
        <color rgb="FF000000"/>
        <rFont val="宋体"/>
        <sz val="11"/>
      </rPr>
      <t xml:space="preserve">》改为激光跟踪仪标定。
</t>
    </r>
    <r>
      <rPr>
        <color rgb="FF7F7F7F"/>
        <rFont val="Arial"/>
        <sz val="11"/>
      </rPr>
      <t xml:space="preserve">FGH-260611</t>
    </r>
    <r>
      <rPr>
        <color rgb="FF7F7F7F"/>
        <rFont val="宋体"/>
        <sz val="11"/>
      </rPr>
      <t xml:space="preserve">》建华评估预计</t>
    </r>
    <r>
      <rPr>
        <color rgb="FF7F7F7F"/>
        <rFont val="Arial"/>
        <sz val="11"/>
      </rPr>
      <t xml:space="preserve"> 7/M </t>
    </r>
    <r>
      <rPr>
        <color rgb="FF7F7F7F"/>
        <rFont val="宋体"/>
        <sz val="11"/>
      </rPr>
      <t xml:space="preserve">完成增加适用于</t>
    </r>
    <r>
      <rPr>
        <color rgb="FF7F7F7F"/>
        <rFont val="Arial"/>
        <sz val="11"/>
      </rPr>
      <t xml:space="preserve"> HE3-GY </t>
    </r>
    <r>
      <rPr>
        <color rgb="FF7F7F7F"/>
        <rFont val="宋体"/>
        <sz val="11"/>
      </rPr>
      <t xml:space="preserve">机器人的标定算法
</t>
    </r>
    <r>
      <rPr>
        <color rgb="FF7F7F7F"/>
        <rFont val="Arial"/>
        <sz val="11"/>
      </rPr>
      <t xml:space="preserve">FGH-260609</t>
    </r>
    <r>
      <rPr>
        <color rgb="FF7F7F7F"/>
        <rFont val="宋体"/>
        <sz val="11"/>
      </rPr>
      <t xml:space="preserve">》今天验证现有的拉线编码器标定算法标定</t>
    </r>
    <r>
      <rPr>
        <color rgb="FF7F7F7F"/>
        <rFont val="Arial"/>
        <sz val="11"/>
      </rPr>
      <t xml:space="preserve"> HE3-GY </t>
    </r>
    <r>
      <rPr>
        <color rgb="FF7F7F7F"/>
        <rFont val="宋体"/>
        <sz val="11"/>
      </rPr>
      <t xml:space="preserve">机器人的结果误差很大</t>
    </r>
    <r>
      <rPr>
        <color rgb="FF7F7F7F"/>
        <rFont val="Arial"/>
        <sz val="11"/>
      </rPr>
      <t xml:space="preserve">( 634.099 mm)</t>
    </r>
    <r>
      <rPr>
        <color rgb="FF7F7F7F"/>
        <rFont val="宋体"/>
        <sz val="11"/>
      </rPr>
      <t xml:space="preserve">，目前判断是标定算法不兼容此机型，需要建华增加适用于</t>
    </r>
    <r>
      <rPr>
        <color rgb="FF7F7F7F"/>
        <rFont val="Arial"/>
        <sz val="11"/>
      </rPr>
      <t xml:space="preserve"> HE3-GY </t>
    </r>
    <r>
      <rPr>
        <color rgb="FF7F7F7F"/>
        <rFont val="宋体"/>
        <sz val="11"/>
      </rPr>
      <t xml:space="preserve">机器人的标定算法。
</t>
    </r>
    <r>
      <rPr>
        <color rgb="FF7F7F7F"/>
        <rFont val="Arial"/>
        <sz val="11"/>
      </rPr>
      <t xml:space="preserve">CZY-260515</t>
    </r>
    <r>
      <rPr>
        <color rgb="FF7F7F7F"/>
        <rFont val="宋体"/>
        <sz val="11"/>
      </rPr>
      <t xml:space="preserve">》拉线编码器杆长标定每台都需测试</t>
    </r>
  </si>
  <si>
    <t>Safety 功能测试</t>
  </si>
  <si>
    <t>FGH-260618》今天天雄做了一个转接线缆，配合之前的 Safety 功能测试治具，可以进行 Safety 功能测试验证。发现现有固件的安全门输入、保护性停止失效，且固件短期内无法解决。运控评估后续还需要 1 个星期的时间修复此问题。待固件修复后再配合验证。</t>
  </si>
  <si>
    <r>
      <rPr>
        <b/>
        <color rgb="FF000000"/>
        <rFont val="宋体"/>
        <sz val="11"/>
      </rPr>
      <t xml:space="preserve">【里程碑】</t>
    </r>
    <r>
      <rPr>
        <b/>
        <color rgb="FF000000"/>
        <rFont val="Arial"/>
        <sz val="11"/>
      </rPr>
      <t xml:space="preserve">Autotest </t>
    </r>
    <r>
      <rPr>
        <b/>
        <color rgb="FF000000"/>
        <rFont val="宋体"/>
        <sz val="11"/>
      </rPr>
      <t xml:space="preserve">开发 (阶段 #2) 完成</t>
    </r>
  </si>
  <si>
    <r>
      <rPr>
        <color rgb="FF000000"/>
        <rFont val="宋体"/>
        <sz val="11"/>
      </rPr>
      <t xml:space="preserve">范国华</t>
    </r>
  </si>
  <si>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指令无效，等待运控排查</t>
    </r>
  </si>
  <si>
    <t>生产物料到齐</t>
  </si>
  <si>
    <t>电控柜物料到齐</t>
  </si>
  <si>
    <t>CZY-260612》电控柜外壳： 涉及3款物料存在部分不良，补货将于明天（6/13）完成。
CZY-260527》6/12保证八套交付线缆到齐
CZY-260521》线缆交期3周，正在持续协调</t>
  </si>
  <si>
    <t>模组到齐</t>
  </si>
  <si>
    <t>黎文荣</t>
  </si>
  <si>
    <t>CZY-260527》目前已到位三款。52模组减速机溢胶已退回，70模组6/10号到齐
CZY-260515》70模组，现在伟达立只有50台的原材料，但还14台欠减速机与电机原材料交期还要30天，预计6月中旬了，其它三款都有原材料5月底可以分批交,1-085-000115模组,RB200-G8017-R1830-100DJM2E,伟达立  这个他们成品有16台，但有2台外观问题</t>
  </si>
  <si>
    <t>机械臂本体物料到齐</t>
  </si>
  <si>
    <t>谭成</t>
  </si>
  <si>
    <t>2026/6/16
2026/6/12</t>
  </si>
  <si>
    <t>TC-20260616》本体物料：因氧化颜色问题返工，6/16晚上已全部发出；17日早上优先质检
CZY-260612》本体外壳（24款）：13款物料已齐套，剩余物料分批次交付：
~6/13 可完成 4台齐套物料，能满足 6/16-18 三天的装配用量；
~剩余欠料在6/15 到齐，到货后优先安排质检；
CZY-260527》机加件预计6/12号到齐
CZY-260518》机加件预计6/10号到齐</t>
  </si>
  <si>
    <t>包装物料到齐</t>
  </si>
  <si>
    <t>卢嘉琪</t>
  </si>
  <si>
    <t>CZY-260612》包材：6/15到货。</t>
  </si>
  <si>
    <t>【里程碑】生产出货整机物料到齐</t>
  </si>
  <si>
    <t>曾喜梅/谭成</t>
  </si>
  <si>
    <t>TC-20260616》目前主要欠本体物料，因材质、加工方式、以及打磨等因素，氧化出现杂色以及颜色不统一等情况返工导致延期，6/16日晚已全部发货，17日上午品质优先安排质检
CZY-260612》本体外壳共24 款，目前 13 款物料已齐套，剩余11款物料交付情况：
1、2款外壳部分退料：二轴外壳3个
、五轴大臂1 个，总计 4 个，返修预计3天6/18前返回；
2、欠料：目前供应商在加急处理氧化
问题，今天晚上送货，明早优先安排检验。
若质检合格，6/16可完成累计 12 套
物料齐套备料。</t>
  </si>
  <si>
    <t>【里程碑】样机物料到齐</t>
  </si>
  <si>
    <t>曾喜梅/谭成/黎文荣</t>
  </si>
  <si>
    <t>CZY-260515》70模组，现在伟达立只有50台的原材料，但还14台欠减速机与电机原材料交期还要30天，预计6月中旬了，其它三款都有原材料5月底可以分批交,1-085-000115模组,RB200-G8017-R1830-100DJM2E,伟达立  这个他们成品有16台，但有2台外观问题</t>
  </si>
  <si>
    <t>机台组装</t>
  </si>
  <si>
    <t>电控柜组装</t>
  </si>
  <si>
    <t>聂玉清/赖周荣/黄建波</t>
  </si>
  <si>
    <r>
      <rPr>
        <color rgb="FF7F7F7F"/>
        <rFont val="Arial"/>
        <sz val="11"/>
      </rPr>
      <t xml:space="preserve">CZY-260623</t>
    </r>
    <r>
      <rPr>
        <color rgb="FF7F7F7F"/>
        <rFont val="宋体"/>
        <sz val="11"/>
      </rPr>
      <t xml:space="preserve">》已完成</t>
    </r>
    <r>
      <rPr>
        <color rgb="FF7F7F7F"/>
        <rFont val="Arial"/>
        <sz val="11"/>
      </rPr>
      <t xml:space="preserve">9</t>
    </r>
    <r>
      <rPr>
        <color rgb="FF7F7F7F"/>
        <rFont val="宋体"/>
        <sz val="11"/>
      </rPr>
      <t xml:space="preserve">台组装测试</t>
    </r>
  </si>
  <si>
    <t>本体组装</t>
  </si>
  <si>
    <t>聂玉清/陈真宇/黄建波</t>
  </si>
  <si>
    <r>
      <rPr>
        <color rgb="FF7F7F7F"/>
        <rFont val="Arial"/>
        <sz val="11"/>
      </rPr>
      <t xml:space="preserve">CZY-260623</t>
    </r>
    <r>
      <rPr>
        <color rgb="FF7F7F7F"/>
        <rFont val="宋体"/>
        <sz val="11"/>
      </rPr>
      <t xml:space="preserve">》已完成</t>
    </r>
    <r>
      <rPr>
        <color rgb="FF7F7F7F"/>
        <rFont val="Arial"/>
        <sz val="11"/>
      </rPr>
      <t xml:space="preserve">9</t>
    </r>
    <r>
      <rPr>
        <color rgb="FF7F7F7F"/>
        <rFont val="宋体"/>
        <sz val="11"/>
      </rPr>
      <t xml:space="preserve">台组装测试</t>
    </r>
    <r>
      <rPr>
        <color rgb="FF7F7F7F"/>
        <rFont val="Arial"/>
        <sz val="11"/>
      </rPr>
      <t xml:space="preserve">
CZY-260509</t>
    </r>
    <r>
      <rPr>
        <color rgb="FF7F7F7F"/>
        <rFont val="宋体"/>
        <sz val="11"/>
      </rPr>
      <t xml:space="preserve">》已让采购与供应商沟通加急处理，预计物料六月初到齐。
</t>
    </r>
    <r>
      <rPr>
        <color rgb="FF7F7F7F"/>
        <rFont val="Arial"/>
        <sz val="11"/>
      </rPr>
      <t xml:space="preserve">CZY-260506</t>
    </r>
    <r>
      <rPr>
        <color rgb="FF7F7F7F"/>
        <rFont val="宋体"/>
        <sz val="11"/>
      </rPr>
      <t xml:space="preserve">》机加件预计交期</t>
    </r>
    <r>
      <rPr>
        <color rgb="FF7F7F7F"/>
        <rFont val="Arial"/>
        <sz val="11"/>
      </rPr>
      <t xml:space="preserve">25</t>
    </r>
    <r>
      <rPr>
        <color rgb="FF7F7F7F"/>
        <rFont val="宋体"/>
        <sz val="11"/>
      </rPr>
      <t xml:space="preserve">天，机加件</t>
    </r>
    <r>
      <rPr>
        <color rgb="FF7F7F7F"/>
        <rFont val="Arial"/>
        <sz val="11"/>
      </rPr>
      <t xml:space="preserve">6/5</t>
    </r>
    <r>
      <rPr>
        <color rgb="FF7F7F7F"/>
        <rFont val="宋体"/>
        <sz val="11"/>
      </rPr>
      <t xml:space="preserve">号到齐，电控柜零件预计</t>
    </r>
    <r>
      <rPr>
        <color rgb="FF7F7F7F"/>
        <rFont val="Arial"/>
        <sz val="11"/>
      </rPr>
      <t xml:space="preserve">6/6</t>
    </r>
    <r>
      <rPr>
        <color rgb="FF7F7F7F"/>
        <rFont val="宋体"/>
        <sz val="11"/>
      </rPr>
      <t xml:space="preserve">号到齐，模组</t>
    </r>
    <r>
      <rPr>
        <color rgb="FF7F7F7F"/>
        <rFont val="Arial"/>
        <sz val="11"/>
      </rPr>
      <t xml:space="preserve">45</t>
    </r>
    <r>
      <rPr>
        <color rgb="FF7F7F7F"/>
        <rFont val="宋体"/>
        <sz val="11"/>
      </rPr>
      <t xml:space="preserve">天到齐，按预期</t>
    </r>
    <r>
      <rPr>
        <color rgb="FF7F7F7F"/>
        <rFont val="Arial"/>
        <sz val="11"/>
      </rPr>
      <t xml:space="preserve">8</t>
    </r>
    <r>
      <rPr>
        <color rgb="FF7F7F7F"/>
        <rFont val="宋体"/>
        <sz val="11"/>
      </rPr>
      <t xml:space="preserve">号下单，</t>
    </r>
    <r>
      <rPr>
        <color rgb="FF7F7F7F"/>
        <rFont val="Arial"/>
        <sz val="11"/>
      </rPr>
      <t xml:space="preserve">6/23</t>
    </r>
    <r>
      <rPr>
        <color rgb="FF7F7F7F"/>
        <rFont val="宋体"/>
        <sz val="11"/>
      </rPr>
      <t xml:space="preserve">号才能到齐</t>
    </r>
  </si>
  <si>
    <t>【里程碑】生产整机组装完成</t>
  </si>
  <si>
    <r>
      <rPr>
        <color rgb="FF7F7F7F"/>
        <rFont val="Arial"/>
        <sz val="11"/>
      </rPr>
      <t xml:space="preserve">CZY-260623</t>
    </r>
    <r>
      <rPr>
        <i/>
        <color rgb="FF7F7F7F"/>
        <rFont val="宋体"/>
        <sz val="11"/>
      </rPr>
      <t xml:space="preserve">》已完成</t>
    </r>
    <r>
      <rPr>
        <i/>
        <color rgb="FF7F7F7F"/>
        <rFont val="Arial"/>
        <sz val="11"/>
      </rPr>
      <t xml:space="preserve">9</t>
    </r>
    <r>
      <rPr>
        <i/>
        <color rgb="FF7F7F7F"/>
        <rFont val="宋体"/>
        <sz val="11"/>
      </rPr>
      <t xml:space="preserve">台组装测试</t>
    </r>
    <r>
      <rPr>
        <i/>
        <color rgb="FF7F7F7F"/>
        <rFont val="Arial"/>
        <sz val="11"/>
      </rPr>
      <t xml:space="preserve">
LJC-260616</t>
    </r>
    <r>
      <rPr>
        <i/>
        <color rgb="FF7F7F7F"/>
        <rFont val="宋体"/>
        <sz val="11"/>
      </rPr>
      <t xml:space="preserve">》电控柜共完成</t>
    </r>
    <r>
      <rPr>
        <i/>
        <color rgb="FF7F7F7F"/>
        <rFont val="Arial"/>
        <sz val="11"/>
      </rPr>
      <t xml:space="preserve">3</t>
    </r>
    <r>
      <rPr>
        <i/>
        <color rgb="FF7F7F7F"/>
        <rFont val="宋体"/>
        <sz val="11"/>
      </rPr>
      <t xml:space="preserve">个；本体完成</t>
    </r>
    <r>
      <rPr>
        <i/>
        <color rgb="FF7F7F7F"/>
        <rFont val="Arial"/>
        <sz val="11"/>
      </rPr>
      <t xml:space="preserve">1</t>
    </r>
    <r>
      <rPr>
        <i/>
        <color rgb="FF7F7F7F"/>
        <rFont val="宋体"/>
        <sz val="11"/>
      </rPr>
      <t xml:space="preserve">个；
</t>
    </r>
    <r>
      <rPr>
        <i/>
        <color rgb="FF7F7F7F"/>
        <rFont val="Arial"/>
        <sz val="11"/>
      </rPr>
      <t xml:space="preserve">CZY-260518</t>
    </r>
    <r>
      <rPr>
        <i/>
        <color rgb="FF7F7F7F"/>
        <rFont val="宋体"/>
        <sz val="11"/>
      </rPr>
      <t xml:space="preserve">》包括研发样机组装时间，生产样机组装完成预计</t>
    </r>
    <r>
      <rPr>
        <i/>
        <color rgb="FF7F7F7F"/>
        <rFont val="Arial"/>
        <sz val="11"/>
      </rPr>
      <t xml:space="preserve">6/20</t>
    </r>
    <r>
      <rPr>
        <i/>
        <color rgb="FF7F7F7F"/>
        <rFont val="宋体"/>
        <sz val="11"/>
      </rPr>
      <t xml:space="preserve">号</t>
    </r>
  </si>
  <si>
    <t>出厂测试</t>
  </si>
  <si>
    <r>
      <rPr>
        <color rgb="FF000000"/>
        <rFont val="宋体"/>
        <sz val="11"/>
      </rPr>
      <t xml:space="preserve">设置模组</t>
    </r>
    <r>
      <rPr>
        <color rgb="FF000000"/>
        <rFont val="Arial"/>
        <sz val="11"/>
      </rPr>
      <t xml:space="preserve">PID</t>
    </r>
    <r>
      <rPr>
        <color rgb="FF000000"/>
        <rFont val="宋体"/>
        <sz val="11"/>
      </rPr>
      <t xml:space="preserve">参数</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</si>
  <si>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LJC-260624》使用伟达立软件设置修改模组PID参数，已完成12台，Autotest暂未有此项功能。</t>
    </r>
  </si>
  <si>
    <r>
      <rPr>
        <color rgb="FF000000"/>
        <rFont val="宋体"/>
        <sz val="11"/>
      </rPr>
      <t xml:space="preserve">模组参数对比</t>
    </r>
  </si>
  <si>
    <t>LJC-260624》Autotest暂未有此项功能。</t>
  </si>
  <si>
    <r>
      <rPr>
        <color rgb="FF000000"/>
        <rFont val="宋体"/>
        <sz val="11"/>
      </rPr>
      <t xml:space="preserve">零点标定适配</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</si>
  <si>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7E7F7F"/>
        <rFont val="Arial"/>
        <sz val="11"/>
      </rPr>
      <t xml:space="preserve">LJC-260624》使用Autotest完成12台零点标定适配。</t>
    </r>
  </si>
  <si>
    <r>
      <rPr>
        <color rgb="FF7E7F7F"/>
        <rFont val="宋体"/>
        <sz val="11"/>
      </rPr>
      <t xml:space="preserve">拉线编码器标定杆长</t>
    </r>
  </si>
  <si>
    <r>
      <rPr>
        <color rgb="FF7E7F7F"/>
        <rFont val="Arial"/>
        <sz val="11"/>
      </rPr>
      <t xml:space="preserve">LJC-260624》借用质检中心激光跟踪仪完成出货的8台校准标定，出货研发样机不测或研发使用拉线编码器治具验证OK后再测。</t>
    </r>
    <r>
      <rPr>
        <color rgb="FF000000"/>
        <rFont val="等线"/>
        <sz val="12"/>
      </rPr>
      <t xml:space="preserve">
</t>
    </r>
    <r>
      <rPr>
        <color rgb="FF7E7F7F"/>
        <rFont val="Arial"/>
        <sz val="11"/>
      </rPr>
      <t xml:space="preserve">CZY-260616》改为激光跟踪仪标定。</t>
    </r>
  </si>
  <si>
    <r>
      <rPr>
        <color rgb="FF000000"/>
        <rFont val="宋体"/>
        <sz val="11"/>
      </rPr>
      <t xml:space="preserve">工作空间检测</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</si>
  <si>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LJC-260624》使用Autotest完成12台工作空间检测。</t>
    </r>
  </si>
  <si>
    <r>
      <rPr>
        <color rgb="FF000000"/>
        <rFont val="宋体"/>
        <sz val="11"/>
      </rPr>
      <t xml:space="preserve">磨合测试</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</si>
  <si>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LJC-260624》使用Autotest完成12台磨合测试。</t>
    </r>
  </si>
  <si>
    <r>
      <rPr>
        <color rgb="FF000000"/>
        <rFont val="Arial"/>
        <sz val="11"/>
      </rPr>
      <t xml:space="preserve">XYZ</t>
    </r>
    <r>
      <rPr>
        <color rgb="FF000000"/>
        <rFont val="宋体"/>
        <sz val="11"/>
      </rPr>
      <t xml:space="preserve">重复定位精度测试</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</si>
  <si>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LJC-260624》使用Autotest完成10台XYZ重复定位精度测试。</t>
    </r>
  </si>
  <si>
    <r>
      <rPr>
        <color rgb="FF000000"/>
        <rFont val="宋体"/>
        <sz val="11"/>
      </rPr>
      <t xml:space="preserve">绝对定位精度测试</t>
    </r>
  </si>
  <si>
    <t>LJC-260624》Autotest暂未有此项功能。
CZY-260616》需要等建华完成运动学逆解</t>
  </si>
  <si>
    <t>【里程碑】生产整机出厂测试完成</t>
  </si>
  <si>
    <r>
      <rPr>
        <color rgb="FF7F7F7F"/>
        <rFont val="Arial"/>
        <sz val="11"/>
      </rPr>
      <t xml:space="preserve">LJC-260623</t>
    </r>
    <r>
      <rPr>
        <i/>
        <color rgb="FF7F7F7F"/>
        <rFont val="宋体"/>
        <sz val="11"/>
      </rPr>
      <t xml:space="preserve">》已测试完打包等待发货</t>
    </r>
    <r>
      <rPr>
        <i/>
        <color rgb="FF7F7F7F"/>
        <rFont val="Arial"/>
        <sz val="11"/>
      </rPr>
      <t xml:space="preserve">
LJC-260620</t>
    </r>
    <r>
      <rPr>
        <i/>
        <color rgb="FF7F7F7F"/>
        <rFont val="宋体"/>
        <sz val="11"/>
      </rPr>
      <t xml:space="preserve">》目前已完成</t>
    </r>
    <r>
      <rPr>
        <i/>
        <color rgb="FF7F7F7F"/>
        <rFont val="Arial"/>
        <sz val="11"/>
      </rPr>
      <t xml:space="preserve">4</t>
    </r>
    <r>
      <rPr>
        <i/>
        <color rgb="FF7F7F7F"/>
        <rFont val="宋体"/>
        <sz val="11"/>
      </rPr>
      <t xml:space="preserve">台测试，第</t>
    </r>
    <r>
      <rPr>
        <i/>
        <color rgb="FF7F7F7F"/>
        <rFont val="Arial"/>
        <sz val="11"/>
      </rPr>
      <t xml:space="preserve">5</t>
    </r>
    <r>
      <rPr>
        <i/>
        <color rgb="FF7F7F7F"/>
        <rFont val="宋体"/>
        <sz val="11"/>
      </rPr>
      <t xml:space="preserve">、</t>
    </r>
    <r>
      <rPr>
        <i/>
        <color rgb="FF7F7F7F"/>
        <rFont val="Arial"/>
        <sz val="11"/>
      </rPr>
      <t xml:space="preserve">6</t>
    </r>
    <r>
      <rPr>
        <i/>
        <color rgb="FF7F7F7F"/>
        <rFont val="宋体"/>
        <sz val="11"/>
      </rPr>
      <t xml:space="preserve">台测试中，第</t>
    </r>
    <r>
      <rPr>
        <i/>
        <color rgb="FF7F7F7F"/>
        <rFont val="Arial"/>
        <sz val="11"/>
      </rPr>
      <t xml:space="preserve">7</t>
    </r>
    <r>
      <rPr>
        <i/>
        <color rgb="FF7F7F7F"/>
        <rFont val="宋体"/>
        <sz val="11"/>
      </rPr>
      <t xml:space="preserve">、</t>
    </r>
    <r>
      <rPr>
        <i/>
        <color rgb="FF7F7F7F"/>
        <rFont val="Arial"/>
        <sz val="11"/>
      </rPr>
      <t xml:space="preserve">8</t>
    </r>
    <r>
      <rPr>
        <i/>
        <color rgb="FF7F7F7F"/>
        <rFont val="宋体"/>
        <sz val="11"/>
      </rPr>
      <t xml:space="preserve">台待装配上架测试；
</t>
    </r>
    <r>
      <rPr>
        <i/>
        <color rgb="FF7F7F7F"/>
        <rFont val="Arial"/>
        <sz val="11"/>
      </rPr>
      <t xml:space="preserve">LJC-260617</t>
    </r>
    <r>
      <rPr>
        <i/>
        <color rgb="FF7F7F7F"/>
        <rFont val="宋体"/>
        <sz val="11"/>
      </rPr>
      <t xml:space="preserve">》第一台样机（本体</t>
    </r>
    <r>
      <rPr>
        <i/>
        <color rgb="FF7F7F7F"/>
        <rFont val="Arial"/>
        <sz val="11"/>
      </rPr>
      <t xml:space="preserve">+</t>
    </r>
    <r>
      <rPr>
        <i/>
        <color rgb="FF7F7F7F"/>
        <rFont val="宋体"/>
        <sz val="11"/>
      </rPr>
      <t xml:space="preserve">电控柜）测试，目前完成固件、配置文件升级、粗标零点、空间检测和磨合测试（磨合正在进行中），明天继续补充电气测试、</t>
    </r>
    <r>
      <rPr>
        <i/>
        <color rgb="FF7F7F7F"/>
        <rFont val="Arial"/>
        <sz val="11"/>
      </rPr>
      <t xml:space="preserve">XYZ</t>
    </r>
    <r>
      <rPr>
        <i/>
        <color rgb="FF7F7F7F"/>
        <rFont val="宋体"/>
        <sz val="11"/>
      </rPr>
      <t xml:space="preserve">重复定位精度测试和激光跟踪仪标定</t>
    </r>
    <r>
      <rPr>
        <i/>
        <color rgb="FF7F7F7F"/>
        <rFont val="Arial"/>
        <sz val="11"/>
      </rPr>
      <t xml:space="preserve">;
LJC-260616</t>
    </r>
    <r>
      <rPr>
        <i/>
        <color rgb="FF7F7F7F"/>
        <rFont val="宋体"/>
        <sz val="11"/>
      </rPr>
      <t xml:space="preserve">》已上架一台，未开始（待研发提供固件、配置文件和程序）；
</t>
    </r>
    <r>
      <rPr>
        <i/>
        <color rgb="FF7F7F7F"/>
        <rFont val="Arial"/>
        <sz val="11"/>
      </rPr>
      <t xml:space="preserve">CZY-260518</t>
    </r>
    <r>
      <rPr>
        <i/>
        <color rgb="FF7F7F7F"/>
        <rFont val="宋体"/>
        <sz val="11"/>
      </rPr>
      <t xml:space="preserve">》包括研发样机测试时间，生产样机测试完成预计</t>
    </r>
    <r>
      <rPr>
        <i/>
        <color rgb="FF7F7F7F"/>
        <rFont val="Arial"/>
        <sz val="11"/>
      </rPr>
      <t xml:space="preserve">6/21</t>
    </r>
    <r>
      <rPr>
        <i/>
        <color rgb="FF7F7F7F"/>
        <rFont val="宋体"/>
        <sz val="11"/>
      </rPr>
      <t xml:space="preserve">号</t>
    </r>
  </si>
  <si>
    <t>【里程碑】样机出厂测试完成</t>
  </si>
  <si>
    <r>
      <rPr>
        <color rgb="FF000000"/>
        <rFont val="Arial"/>
        <sz val="11"/>
      </rPr>
      <t xml:space="preserve">LJC-260630》目前完成13台测试；
</t>
    </r>
    <r>
      <rPr>
        <color rgb="FF000000"/>
        <rFont val="等线"/>
        <sz val="12"/>
      </rPr>
      <t xml:space="preserve">
</t>
    </r>
    <r>
      <rPr>
        <color rgb="FF000000"/>
        <rFont val="Arial"/>
        <sz val="11"/>
      </rPr>
      <t xml:space="preserve">CZY-260624</t>
    </r>
    <r>
      <rPr>
        <color rgb="FF000000"/>
        <rFont val="宋体"/>
        <sz val="11"/>
      </rPr>
      <t xml:space="preserve">》目前</t>
    </r>
    <r>
      <rPr>
        <color rgb="FF000000"/>
        <rFont val="Arial"/>
        <sz val="11"/>
      </rPr>
      <t xml:space="preserve">2</t>
    </r>
    <r>
      <rPr>
        <color rgb="FF000000"/>
        <rFont val="宋体"/>
        <sz val="11"/>
      </rPr>
      <t xml:space="preserve">台正在测试，</t>
    </r>
    <r>
      <rPr>
        <color rgb="FF000000"/>
        <rFont val="Arial"/>
        <sz val="11"/>
      </rPr>
      <t xml:space="preserve">2</t>
    </r>
    <r>
      <rPr>
        <color rgb="FF000000"/>
        <rFont val="宋体"/>
        <sz val="11"/>
      </rPr>
      <t xml:space="preserve">台今天完成装配并上架测试；余下</t>
    </r>
    <r>
      <rPr>
        <color rgb="FF000000"/>
        <rFont val="Arial"/>
        <sz val="11"/>
      </rPr>
      <t xml:space="preserve"> 3 </t>
    </r>
    <r>
      <rPr>
        <color rgb="FF000000"/>
        <rFont val="宋体"/>
        <sz val="11"/>
      </rPr>
      <t xml:space="preserve">台需延至</t>
    </r>
    <r>
      <rPr>
        <color rgb="FF000000"/>
        <rFont val="Arial"/>
        <sz val="11"/>
      </rPr>
      <t xml:space="preserve">7</t>
    </r>
    <r>
      <rPr>
        <color rgb="FF000000"/>
        <rFont val="宋体"/>
        <sz val="11"/>
      </rPr>
      <t xml:space="preserve">月装配，待昂华订单生产出货完成后启动，预估装配时间为</t>
    </r>
    <r>
      <rPr>
        <color rgb="FF000000"/>
        <rFont val="Arial"/>
        <sz val="11"/>
      </rPr>
      <t xml:space="preserve">7</t>
    </r>
    <r>
      <rPr>
        <color rgb="FF000000"/>
        <rFont val="宋体"/>
        <sz val="11"/>
      </rPr>
      <t xml:space="preserve">月</t>
    </r>
    <r>
      <rPr>
        <color rgb="FF000000"/>
        <rFont val="Arial"/>
        <sz val="11"/>
      </rPr>
      <t xml:space="preserve">4</t>
    </r>
    <r>
      <rPr>
        <color rgb="FF000000"/>
        <rFont val="宋体"/>
        <sz val="11"/>
      </rPr>
      <t xml:space="preserve">日</t>
    </r>
    <r>
      <rPr>
        <color rgb="FF000000"/>
        <rFont val="Arial"/>
        <sz val="11"/>
      </rPr>
      <t xml:space="preserve">-7</t>
    </r>
    <r>
      <rPr>
        <color rgb="FF000000"/>
        <rFont val="宋体"/>
        <sz val="11"/>
      </rPr>
      <t xml:space="preserve">月</t>
    </r>
    <r>
      <rPr>
        <color rgb="FF000000"/>
        <rFont val="Arial"/>
        <sz val="11"/>
      </rPr>
      <t xml:space="preserve">5</t>
    </r>
    <r>
      <rPr>
        <color rgb="FF000000"/>
        <rFont val="宋体"/>
        <sz val="11"/>
      </rPr>
      <t xml:space="preserve">日</t>
    </r>
    <r>
      <rPr>
        <color rgb="FF000000"/>
        <rFont val="Arial"/>
        <sz val="11"/>
      </rPr>
      <t xml:space="preserve">
CZY-260623</t>
    </r>
    <r>
      <rPr>
        <color rgb="FF000000"/>
        <rFont val="宋体"/>
        <sz val="11"/>
      </rPr>
      <t xml:space="preserve">》已完成</t>
    </r>
    <r>
      <rPr>
        <color rgb="FF000000"/>
        <rFont val="Arial"/>
        <sz val="11"/>
      </rPr>
      <t xml:space="preserve">9</t>
    </r>
    <r>
      <rPr>
        <color rgb="FF000000"/>
        <rFont val="宋体"/>
        <sz val="11"/>
      </rPr>
      <t xml:space="preserve">台组装测试</t>
    </r>
  </si>
  <si>
    <t>用户手册输出</t>
  </si>
  <si>
    <t>《HE3系列机器人用户手册》编写</t>
  </si>
  <si>
    <t>钟庆森</t>
  </si>
  <si>
    <r>
      <rPr>
        <color rgb="FF7E7F7F"/>
        <rFont val="Arial"/>
        <sz val="11"/>
      </rPr>
      <t xml:space="preserve">ZQS-260708》1.根据邮箱建议，优化内容；2.正式文档7月8日发布</t>
    </r>
    <r>
      <rPr>
        <color rgb="FF7E7F7F"/>
        <rFont val="等线"/>
        <sz val="12"/>
      </rPr>
      <t xml:space="preserve">
</t>
    </r>
    <r>
      <rPr>
        <color rgb="FF7E7F7F"/>
        <rFont val="Arial"/>
        <sz val="11"/>
      </rPr>
      <t xml:space="preserve">CZY-260630</t>
    </r>
    <r>
      <rPr>
        <color rgb="FF7E7F7F"/>
        <rFont val="宋体"/>
        <sz val="11"/>
      </rPr>
      <t xml:space="preserve">》正在审核中，待整理审核意见重新更新</t>
    </r>
    <r>
      <rPr>
        <color rgb="FF7E7F7F"/>
        <rFont val="Arial"/>
        <sz val="11"/>
      </rPr>
      <t xml:space="preserve">
CZY-260519</t>
    </r>
    <r>
      <rPr>
        <color rgb="FF7E7F7F"/>
        <rFont val="宋体"/>
        <sz val="11"/>
      </rPr>
      <t xml:space="preserve">》确认用户手册内容框架
</t>
    </r>
    <r>
      <rPr>
        <color rgb="FF7E7F7F"/>
        <rFont val="Arial"/>
        <sz val="11"/>
      </rPr>
      <t xml:space="preserve">ZQS-260527</t>
    </r>
    <r>
      <rPr>
        <color rgb="FF7E7F7F"/>
        <rFont val="宋体"/>
        <sz val="11"/>
      </rPr>
      <t xml:space="preserve">》参考节卡竞品完善手册框架
</t>
    </r>
    <r>
      <rPr>
        <color rgb="FF7E7F7F"/>
        <rFont val="Arial"/>
        <sz val="11"/>
      </rPr>
      <t xml:space="preserve">ZQS-260602</t>
    </r>
    <r>
      <rPr>
        <color rgb="FF7E7F7F"/>
        <rFont val="宋体"/>
        <sz val="11"/>
      </rPr>
      <t xml:space="preserve">》已经将用户手册模板输出，待撰写内容
</t>
    </r>
    <r>
      <rPr>
        <color rgb="FF7E7F7F"/>
        <rFont val="Arial"/>
        <sz val="11"/>
      </rPr>
      <t xml:space="preserve">ZQS-260623</t>
    </r>
    <r>
      <rPr>
        <color rgb="FF7E7F7F"/>
        <rFont val="宋体"/>
        <sz val="11"/>
      </rPr>
      <t xml:space="preserve">》待尺寸图纸输出
</t>
    </r>
  </si>
  <si>
    <t>《HE3系列机器人调试与维护手册》编写</t>
  </si>
  <si>
    <r>
      <rPr>
        <color rgb="FF7E7F7F"/>
        <rFont val="Arial"/>
        <sz val="11"/>
      </rPr>
      <t xml:space="preserve">CZY-260519</t>
    </r>
    <r>
      <rPr>
        <color rgb="FF7E7F7F"/>
        <rFont val="宋体"/>
        <sz val="11"/>
      </rPr>
      <t xml:space="preserve">》确认调试、维护内容框架
</t>
    </r>
    <r>
      <rPr>
        <color rgb="FF7E7F7F"/>
        <rFont val="Arial"/>
        <sz val="11"/>
      </rPr>
      <t xml:space="preserve">ZQS-260527</t>
    </r>
    <r>
      <rPr>
        <color rgb="FF7E7F7F"/>
        <rFont val="宋体"/>
        <sz val="11"/>
      </rPr>
      <t xml:space="preserve">》咨询德明</t>
    </r>
    <r>
      <rPr>
        <color rgb="FF7E7F7F"/>
        <rFont val="Arial"/>
        <sz val="11"/>
      </rPr>
      <t xml:space="preserve">HE3</t>
    </r>
    <r>
      <rPr>
        <color rgb="FF7E7F7F"/>
        <rFont val="宋体"/>
        <sz val="11"/>
      </rPr>
      <t xml:space="preserve">测试情况
</t>
    </r>
    <r>
      <rPr>
        <color rgb="FF7E7F7F"/>
        <rFont val="Arial"/>
        <sz val="11"/>
      </rPr>
      <t xml:space="preserve">ZQS-260602</t>
    </r>
    <r>
      <rPr>
        <color rgb="FF7E7F7F"/>
        <rFont val="宋体"/>
        <sz val="11"/>
      </rPr>
      <t xml:space="preserve">》已经调试与维护手册模板输出，待后续拽写内容
</t>
    </r>
    <r>
      <rPr>
        <color rgb="FF7E7F7F"/>
        <rFont val="Arial"/>
        <sz val="11"/>
      </rPr>
      <t xml:space="preserve">ZQS-260623</t>
    </r>
    <r>
      <rPr>
        <color rgb="FF7E7F7F"/>
        <rFont val="宋体"/>
        <sz val="11"/>
      </rPr>
      <t xml:space="preserve">》内容主体已经完成，调试与维护细节待沟通</t>
    </r>
  </si>
  <si>
    <t>《SDK接口与通信协议文档》编写</t>
  </si>
  <si>
    <t>钟庆森/王超</t>
  </si>
  <si>
    <r>
      <rPr>
        <color rgb="FF7E7F7F"/>
        <rFont val="Arial"/>
        <sz val="11"/>
      </rPr>
      <t xml:space="preserve">CZY-260630</t>
    </r>
    <r>
      <rPr>
        <color rgb="FF7E7F7F"/>
        <rFont val="宋体"/>
        <sz val="11"/>
      </rPr>
      <t xml:space="preserve">》与暖和沟通后续会更新一版，目前采用由王超提供的临时版本</t>
    </r>
    <r>
      <rPr>
        <color rgb="FF7E7F7F"/>
        <rFont val="Arial"/>
        <sz val="11"/>
      </rPr>
      <t xml:space="preserve">
CZY-260519</t>
    </r>
    <r>
      <rPr>
        <color rgb="FF7E7F7F"/>
        <rFont val="宋体"/>
        <sz val="11"/>
      </rPr>
      <t xml:space="preserve">》参考</t>
    </r>
    <r>
      <rPr>
        <color rgb="FF7E7F7F"/>
        <rFont val="Arial"/>
        <sz val="11"/>
      </rPr>
      <t xml:space="preserve">Pallas SKD </t>
    </r>
    <r>
      <rPr>
        <color rgb="FF7E7F7F"/>
        <rFont val="宋体"/>
        <sz val="11"/>
      </rPr>
      <t xml:space="preserve">指令说明</t>
    </r>
    <r>
      <rPr>
        <color rgb="FF7E7F7F"/>
        <rFont val="Arial"/>
        <sz val="11"/>
      </rPr>
      <t xml:space="preserve"> V2.0.1
ZQS-260527</t>
    </r>
    <r>
      <rPr>
        <color rgb="FF7E7F7F"/>
        <rFont val="宋体"/>
        <sz val="11"/>
      </rPr>
      <t xml:space="preserve">》与王超沟通，参考节卡竞品资料
</t>
    </r>
    <r>
      <rPr>
        <color rgb="FF7E7F7F"/>
        <rFont val="Arial"/>
        <sz val="11"/>
      </rPr>
      <t xml:space="preserve">ZQS-260623</t>
    </r>
    <r>
      <rPr>
        <color rgb="FF7E7F7F"/>
        <rFont val="宋体"/>
        <sz val="11"/>
      </rPr>
      <t xml:space="preserve">》王超提供了</t>
    </r>
    <r>
      <rPr>
        <color rgb="FF7E7F7F"/>
        <rFont val="Arial"/>
        <sz val="11"/>
      </rPr>
      <t xml:space="preserve">SDK</t>
    </r>
    <r>
      <rPr>
        <color rgb="FF7E7F7F"/>
        <rFont val="宋体"/>
        <sz val="11"/>
      </rPr>
      <t xml:space="preserve">文档资料参考文件</t>
    </r>
  </si>
  <si>
    <t>【里程碑】HE3用户手册输出</t>
  </si>
  <si>
    <t>产品出货</t>
  </si>
  <si>
    <r>
      <rPr>
        <b/>
        <color rgb="FF7E7F7F"/>
        <rFont val="宋体"/>
        <sz val="11"/>
      </rPr>
      <t xml:space="preserve">【里程碑】交付第一批</t>
    </r>
    <r>
      <rPr>
        <b/>
        <color rgb="FF7E7F7F"/>
        <rFont val="Arial"/>
        <sz val="11"/>
      </rPr>
      <t xml:space="preserve">8</t>
    </r>
    <r>
      <rPr>
        <b/>
        <color rgb="FF7E7F7F"/>
        <rFont val="宋体"/>
        <sz val="11"/>
      </rPr>
      <t xml:space="preserve">台</t>
    </r>
    <r>
      <rPr>
        <b/>
        <color rgb="FF7E7F7F"/>
        <rFont val="Arial"/>
        <sz val="11"/>
      </rPr>
      <t xml:space="preserve">HE3</t>
    </r>
    <r>
      <rPr>
        <b/>
        <color rgb="FF7E7F7F"/>
        <rFont val="宋体"/>
        <sz val="11"/>
      </rPr>
      <t xml:space="preserve">机械臂</t>
    </r>
  </si>
  <si>
    <t>金鑫彤</t>
  </si>
  <si>
    <r>
      <rPr>
        <color rgb="FF7E7F7F"/>
        <rFont val="Arial"/>
        <sz val="11"/>
      </rPr>
      <t xml:space="preserve">CZY-260623</t>
    </r>
    <r>
      <rPr>
        <color rgb="FF7E7F7F"/>
        <rFont val="宋体"/>
        <sz val="11"/>
      </rPr>
      <t xml:space="preserve">》已全部打包完成，等金总确认发货时间</t>
    </r>
    <r>
      <rPr>
        <color rgb="FF7E7F7F"/>
        <rFont val="Arial"/>
        <sz val="11"/>
      </rPr>
      <t xml:space="preserve">
CZY-260513</t>
    </r>
    <r>
      <rPr>
        <color rgb="FF7E7F7F"/>
        <rFont val="宋体"/>
        <sz val="11"/>
      </rPr>
      <t xml:space="preserve">》跟商务确认第一批按照</t>
    </r>
    <r>
      <rPr>
        <color rgb="FF7E7F7F"/>
        <rFont val="Arial"/>
        <sz val="11"/>
      </rPr>
      <t xml:space="preserve">23</t>
    </r>
    <r>
      <rPr>
        <color rgb="FF7E7F7F"/>
        <rFont val="宋体"/>
        <sz val="11"/>
      </rPr>
      <t xml:space="preserve">号交付</t>
    </r>
    <r>
      <rPr>
        <color rgb="FF7E7F7F"/>
        <rFont val="Arial"/>
        <sz val="11"/>
      </rPr>
      <t xml:space="preserve">8</t>
    </r>
    <r>
      <rPr>
        <color rgb="FF7E7F7F"/>
        <rFont val="宋体"/>
        <sz val="11"/>
      </rPr>
      <t xml:space="preserve">台，内容测试留</t>
    </r>
    <r>
      <rPr>
        <color rgb="FF7E7F7F"/>
        <rFont val="Arial"/>
        <sz val="11"/>
      </rPr>
      <t xml:space="preserve">7</t>
    </r>
    <r>
      <rPr>
        <color rgb="FF7E7F7F"/>
        <rFont val="宋体"/>
        <sz val="11"/>
      </rPr>
      <t xml:space="preserve">台，共</t>
    </r>
    <r>
      <rPr>
        <color rgb="FF7E7F7F"/>
        <rFont val="Arial"/>
        <sz val="11"/>
      </rPr>
      <t xml:space="preserve">15</t>
    </r>
    <r>
      <rPr>
        <color rgb="FF7E7F7F"/>
        <rFont val="宋体"/>
        <sz val="11"/>
      </rPr>
      <t xml:space="preserve">台
</t>
    </r>
    <r>
      <rPr>
        <color rgb="FF7E7F7F"/>
        <rFont val="Arial"/>
        <sz val="11"/>
      </rPr>
      <t xml:space="preserve">CZY-260512</t>
    </r>
    <r>
      <rPr>
        <color rgb="FF7E7F7F"/>
        <rFont val="宋体"/>
        <sz val="11"/>
      </rPr>
      <t xml:space="preserve">》加上</t>
    </r>
    <r>
      <rPr>
        <color rgb="FF7E7F7F"/>
        <rFont val="Arial"/>
        <sz val="11"/>
      </rPr>
      <t xml:space="preserve"> Octopus Demo </t>
    </r>
    <r>
      <rPr>
        <color rgb="FF7E7F7F"/>
        <rFont val="宋体"/>
        <sz val="11"/>
      </rPr>
      <t xml:space="preserve">的</t>
    </r>
    <r>
      <rPr>
        <color rgb="FF7E7F7F"/>
        <rFont val="Arial"/>
        <sz val="11"/>
      </rPr>
      <t xml:space="preserve"> 4 </t>
    </r>
    <r>
      <rPr>
        <color rgb="FF7E7F7F"/>
        <rFont val="宋体"/>
        <sz val="11"/>
      </rPr>
      <t xml:space="preserve">台，和研发测试需要的</t>
    </r>
    <r>
      <rPr>
        <color rgb="FF7E7F7F"/>
        <rFont val="Arial"/>
        <sz val="11"/>
      </rPr>
      <t xml:space="preserve"> 3 </t>
    </r>
    <r>
      <rPr>
        <color rgb="FF7E7F7F"/>
        <rFont val="宋体"/>
        <sz val="11"/>
      </rPr>
      <t xml:space="preserve">台，共计</t>
    </r>
    <r>
      <rPr>
        <color rgb="FF7E7F7F"/>
        <rFont val="Arial"/>
        <sz val="11"/>
      </rPr>
      <t xml:space="preserve">  17 </t>
    </r>
    <r>
      <rPr>
        <color rgb="FF7E7F7F"/>
        <rFont val="宋体"/>
        <sz val="11"/>
      </rPr>
      <t xml:space="preserve">台，优先满足弓叶的</t>
    </r>
    <r>
      <rPr>
        <color rgb="FF7E7F7F"/>
        <rFont val="Arial"/>
        <sz val="11"/>
      </rPr>
      <t xml:space="preserve"> 10 </t>
    </r>
    <r>
      <rPr>
        <color rgb="FF7E7F7F"/>
        <rFont val="宋体"/>
        <sz val="11"/>
      </rPr>
      <t xml:space="preserve">台机交付</t>
    </r>
    <r>
      <rPr>
        <b/>
        <color rgb="FF7E7F7F"/>
        <rFont val="Arial"/>
        <sz val="11"/>
      </rPr>
      <t xml:space="preserve">
CS-260510</t>
    </r>
    <r>
      <rPr>
        <b/>
        <color rgb="FF7E7F7F"/>
        <rFont val="宋体-简"/>
        <sz val="11"/>
      </rPr>
      <t xml:space="preserve">》</t>
    </r>
    <r>
      <rPr>
        <color rgb="FF7E7F7F"/>
        <rFont val="宋体-简"/>
        <sz val="11"/>
      </rPr>
      <t xml:space="preserve">除了客</t>
    </r>
    <r>
      <rPr>
        <color rgb="FF7E7F7F"/>
        <rFont val="宋体"/>
        <sz val="11"/>
      </rPr>
      <t xml:space="preserve">户</t>
    </r>
    <r>
      <rPr>
        <color rgb="FF7E7F7F"/>
        <rFont val="宋体-简"/>
        <sz val="11"/>
      </rPr>
      <t xml:space="preserve">的</t>
    </r>
    <r>
      <rPr>
        <color rgb="FF7E7F7F"/>
        <rFont val="Arial"/>
        <sz val="11"/>
      </rPr>
      <t xml:space="preserve">10</t>
    </r>
    <r>
      <rPr>
        <color rgb="FF7E7F7F"/>
        <rFont val="宋体-简"/>
        <sz val="11"/>
      </rPr>
      <t xml:space="preserve">台，我</t>
    </r>
    <r>
      <rPr>
        <color rgb="FF7E7F7F"/>
        <rFont val="宋体"/>
        <sz val="11"/>
      </rPr>
      <t xml:space="preserve">们内</t>
    </r>
    <r>
      <rPr>
        <color rgb="FF7E7F7F"/>
        <rFont val="宋体-简"/>
        <sz val="11"/>
      </rPr>
      <t xml:space="preserve">部要保留几支？</t>
    </r>
    <r>
      <rPr>
        <color rgb="FF7E7F7F"/>
        <rFont val="宋体"/>
        <sz val="11"/>
      </rPr>
      <t xml:space="preserve">这</t>
    </r>
    <r>
      <rPr>
        <color rgb="FF7E7F7F"/>
        <rFont val="宋体-简"/>
        <sz val="11"/>
      </rPr>
      <t xml:space="preserve">也必</t>
    </r>
    <r>
      <rPr>
        <color rgb="FF7E7F7F"/>
        <rFont val="宋体"/>
        <sz val="11"/>
      </rPr>
      <t xml:space="preserve">须</t>
    </r>
    <r>
      <rPr>
        <color rgb="FF7E7F7F"/>
        <rFont val="宋体-简"/>
        <sz val="11"/>
      </rPr>
      <t xml:space="preserve">包含</t>
    </r>
    <r>
      <rPr>
        <color rgb="FF7E7F7F"/>
        <rFont val="Arial"/>
        <sz val="11"/>
      </rPr>
      <t xml:space="preserve"> Octopus </t>
    </r>
    <r>
      <rPr>
        <color rgb="FF7E7F7F"/>
        <rFont val="宋体-简"/>
        <sz val="11"/>
      </rPr>
      <t xml:space="preserve">需要的</t>
    </r>
    <r>
      <rPr>
        <color rgb="FF7E7F7F"/>
        <rFont val="宋体"/>
        <sz val="11"/>
      </rPr>
      <t xml:space="preserve">数</t>
    </r>
    <r>
      <rPr>
        <color rgb="FF7E7F7F"/>
        <rFont val="宋体-简"/>
        <sz val="11"/>
      </rPr>
      <t xml:space="preserve">量。</t>
    </r>
    <r>
      <rPr>
        <color rgb="FF7E7F7F"/>
        <rFont val="Arial"/>
        <sz val="11"/>
      </rPr>
      <t xml:space="preserve">
CZY-260509</t>
    </r>
    <r>
      <rPr>
        <color rgb="FF7E7F7F"/>
        <rFont val="宋体"/>
        <sz val="11"/>
      </rPr>
      <t xml:space="preserve">》预计</t>
    </r>
    <r>
      <rPr>
        <color rgb="FF7E7F7F"/>
        <rFont val="Arial"/>
        <sz val="11"/>
      </rPr>
      <t xml:space="preserve"> 16 </t>
    </r>
    <r>
      <rPr>
        <color rgb="FF7E7F7F"/>
        <rFont val="宋体"/>
        <sz val="11"/>
      </rPr>
      <t xml:space="preserve">号开始交付，</t>
    </r>
    <r>
      <rPr>
        <color rgb="FF7E7F7F"/>
        <rFont val="Arial"/>
        <sz val="11"/>
      </rPr>
      <t xml:space="preserve">23 </t>
    </r>
    <r>
      <rPr>
        <color rgb="FF7E7F7F"/>
        <rFont val="宋体"/>
        <sz val="11"/>
      </rPr>
      <t xml:space="preserve">号全部交付完毕，金鑫彤需要与客户确认此时间是否能够满足客户需求</t>
    </r>
  </si>
  <si>
    <t>【里程碑】7台研发样机组装测试完成</t>
  </si>
  <si>
    <r>
      <rPr>
        <color rgb="FF000000"/>
        <rFont val="Arial"/>
        <sz val="11"/>
      </rPr>
      <t xml:space="preserve">2026/7/10</t>
    </r>
    <r>
      <rPr>
        <color rgb="FF000000"/>
        <rFont val="等线"/>
        <sz val="12"/>
      </rPr>
      <t xml:space="preserve">
</t>
    </r>
    <r>
      <rPr>
        <color rgb="FF7E7F7F"/>
        <rFont val="Arial"/>
        <sz val="11"/>
      </rPr>
      <t xml:space="preserve">2026/6/25</t>
    </r>
  </si>
  <si>
    <r>
      <rPr>
        <color rgb="FF000000"/>
        <rFont val="宋体"/>
        <sz val="11"/>
      </rPr>
      <t xml:space="preserve">样机测试</t>
    </r>
    <r>
      <rPr>
        <color rgb="FF000000"/>
        <rFont val="Arial"/>
        <sz val="11"/>
      </rPr>
      <t xml:space="preserve">——</t>
    </r>
    <r>
      <rPr>
        <color rgb="FF000000"/>
        <rFont val="宋体"/>
        <sz val="11"/>
      </rPr>
      <t xml:space="preserve">研发端交付后验证</t>
    </r>
  </si>
  <si>
    <t>防水测试</t>
  </si>
  <si>
    <r>
      <rPr>
        <color rgb="FF000000"/>
        <rFont val="宋体"/>
        <sz val="11"/>
      </rPr>
      <t xml:space="preserve">毛德明</t>
    </r>
    <r>
      <rPr>
        <color rgb="FF000000"/>
        <rFont val="Arial"/>
        <sz val="11"/>
      </rPr>
      <t xml:space="preserve">/</t>
    </r>
    <r>
      <rPr>
        <color rgb="FF000000"/>
        <rFont val="宋体"/>
        <sz val="11"/>
      </rPr>
      <t xml:space="preserve">车拓鑫</t>
    </r>
  </si>
  <si>
    <t>温度测试</t>
  </si>
  <si>
    <t>精度测试</t>
  </si>
  <si>
    <t>MDM-260630》校准验证和重复定位测试已完成。</t>
  </si>
  <si>
    <t>线缆寿命测试</t>
  </si>
  <si>
    <t>毛德明/车拓鑫</t>
  </si>
  <si>
    <t>CZY-260509》弓叶用不到充电线缆，目前的线缆已在 TH6 上验证过，可以满足要求</t>
  </si>
  <si>
    <t>整机寿命测试</t>
  </si>
  <si>
    <t>【里程碑】重点测试项目通过</t>
  </si>
  <si>
    <t>EMC摸底</t>
  </si>
  <si>
    <t>静电放电抗扰度（ESD）</t>
  </si>
  <si>
    <t>赖周荣/龚嘉俊</t>
  </si>
  <si>
    <r>
      <rPr>
        <color rgb="FF000000"/>
        <rFont val="宋体"/>
        <sz val="11"/>
      </rPr>
      <t xml:space="preserve">浪涌（冲击）抗扰度</t>
    </r>
    <r>
      <rPr>
        <color rgb="FF000000"/>
        <rFont val="Arial"/>
        <sz val="11"/>
      </rPr>
      <t xml:space="preserve">(surge)</t>
    </r>
  </si>
  <si>
    <t>脉冲磁场抗扰度</t>
  </si>
  <si>
    <t>射频场感应的传导骚扰抗扰度(CS)</t>
  </si>
  <si>
    <t>射频电磁场辐射抗扰度(RS)</t>
  </si>
  <si>
    <t>电快速瞬变脉冲群抗扰度实验(EFT)</t>
  </si>
  <si>
    <t>辐射发射(RE)</t>
  </si>
  <si>
    <t>传导发射(CE)</t>
  </si>
  <si>
    <t>【里程碑】完成样机的 EMC 摸底测试</t>
  </si>
  <si>
    <t>FDR阶段二：标准机研发
时间节点：2026/10/15</t>
  </si>
  <si>
    <t>QKM 结构设计完成</t>
  </si>
  <si>
    <t>样机6、7轴传动方式设计</t>
  </si>
  <si>
    <t>CZY-260605》已将最新的HE3机械臂和MS6电控柜模型给到弓叶，预计下周四输出第一版。
CZY-260527》考虑到二代样机不需要兼容科大智能的充电线体，故模组内孔尺寸可以减小，为满足手腕部紧凑要求，同时减轻质量模组在满足输出转矩和最大速度加速器情况下重新选型。
CZY-260521》查找资料后更新完善
CXB-260520》还缺了末端夹爪、灵巧手兼容性设计，不仅是结构上，电气部分怎么兼容，控制上是否有新的需求？</t>
  </si>
  <si>
    <t>样机杆长优化</t>
  </si>
  <si>
    <t>样机末端 MS6 Endboard 适配设计</t>
  </si>
  <si>
    <t>样机末端力传感器、视觉相机适配设计</t>
  </si>
  <si>
    <t>按照目前结构输出给工业设计</t>
  </si>
  <si>
    <t>【里程碑】QKM 初步设计完成，可以交付工业设计</t>
  </si>
  <si>
    <t>抱闸释放方案确认和实现</t>
  </si>
  <si>
    <t>48V电源急停恢复后验证</t>
  </si>
  <si>
    <t>梁兴坤</t>
  </si>
  <si>
    <t>CZY-260709》根据今天讨论结果，兴坤今天测试完急停后48V恢复功能，建华那边确认恢复后能够正常与模组建立通讯，再由超哥这边添加抱闸虚拟按键
LXK-260709》在Comm-E V2.4.0036版本验证，急停后松开，可以恢复48V通电和通讯，但还存在几个问题：
1、接急停盒时，第一次可以上伺服，急停后松开就无法再次上伺服了；
2、接示教器时，无法上伺服；
这两点还需要建华进一步查看
不影响王超适配可以先升级使用</t>
  </si>
  <si>
    <t>急停恢复后重新建立模组通讯</t>
  </si>
  <si>
    <t>MT3虚拟抱闸按键实现</t>
  </si>
  <si>
    <t>第二代样机组装测试（直连方案样机4/22号下单一套）</t>
  </si>
  <si>
    <t>杆长和零点标定</t>
  </si>
  <si>
    <t>关节运动速度测试</t>
  </si>
  <si>
    <t>关节电流测试</t>
  </si>
  <si>
    <t>工作空间验证</t>
  </si>
  <si>
    <t>MDM-260708》工作空间已测试完成，J1/J3/J4/J5/J7轴±178.5°，J2轴±100°，J6轴±102.5°</t>
  </si>
  <si>
    <t>直线运动速度测试</t>
  </si>
  <si>
    <t>上下电测试</t>
  </si>
  <si>
    <t>急停时间距离测试</t>
  </si>
  <si>
    <t>功率测试</t>
  </si>
  <si>
    <t>MDM-260708》满载测试的最大静态功率约183W，最大动态功率约466W。</t>
  </si>
  <si>
    <t>高低温测试</t>
  </si>
  <si>
    <t>IP防护等级测试</t>
  </si>
  <si>
    <t>MDM-260708》重复定位精度已测，测试值±0.03mm。绝对定位精度还未测试。</t>
  </si>
  <si>
    <t>动力学辨识和免驱力控测试</t>
  </si>
  <si>
    <t>【里程碑】样机物料到齐——QKM 版本直连方案</t>
  </si>
  <si>
    <r>
      <rPr>
        <color rgb="FF7F7F7F"/>
        <rFont val="宋体"/>
        <sz val="11"/>
      </rPr>
      <t xml:space="preserve">陈真宇</t>
    </r>
  </si>
  <si>
    <t>【里程碑】样机组装完成——QKM 版本直连方案</t>
  </si>
  <si>
    <t>CZY-260624》已完成直连方案组装</t>
  </si>
  <si>
    <t>【里程碑】二代样机测试完成——QKM 版本直连方案</t>
  </si>
  <si>
    <t>第二代样机运动学开发（7轴）</t>
  </si>
  <si>
    <t>正逆解运动学建模、仿真代码编写和测试</t>
  </si>
  <si>
    <t>曾庆富</t>
  </si>
  <si>
    <r>
      <rPr>
        <color rgb="FF000000"/>
        <rFont val="Arial"/>
        <sz val="11"/>
      </rPr>
      <t xml:space="preserve">ZQF-260702》1、协助建华测试EMI功能的延迟；2、进行HE3的运动学仿真，分析天机SDK中关于7轴机械臂的构型位保持功能。</t>
    </r>
    <r>
      <rPr>
        <color rgb="FF000000"/>
        <rFont val="等线"/>
        <sz val="12"/>
      </rPr>
      <t xml:space="preserve">
</t>
    </r>
    <r>
      <rPr>
        <color rgb="FF000000"/>
        <rFont val="Arial"/>
        <sz val="11"/>
      </rPr>
      <t xml:space="preserve">ZQF-260624》优化HE3的逆解迭代计算，降低求解平均耗时</t>
    </r>
    <r>
      <rPr>
        <color rgb="FF000000"/>
        <rFont val="等线"/>
        <sz val="12"/>
      </rPr>
      <t xml:space="preserve">
</t>
    </r>
    <r>
      <rPr>
        <color rgb="FF7E7F7F"/>
        <rFont val="Arial"/>
        <sz val="11"/>
      </rPr>
      <t xml:space="preserve">CZY-260623</t>
    </r>
    <r>
      <rPr>
        <color rgb="FF7E7F7F"/>
        <rFont val="宋体"/>
        <sz val="11"/>
      </rPr>
      <t xml:space="preserve">》目前建华支援</t>
    </r>
    <r>
      <rPr>
        <color rgb="FF7E7F7F"/>
        <rFont val="Arial"/>
        <sz val="11"/>
      </rPr>
      <t xml:space="preserve">AF</t>
    </r>
    <r>
      <rPr>
        <color rgb="FF7E7F7F"/>
        <rFont val="宋体"/>
        <sz val="11"/>
      </rPr>
      <t xml:space="preserve">，由庆富继续优化</t>
    </r>
    <r>
      <rPr>
        <color rgb="FF7E7F7F"/>
        <rFont val="Arial"/>
        <sz val="11"/>
      </rPr>
      <t xml:space="preserve">
</t>
    </r>
    <r>
      <rPr>
        <color rgb="FF7F7F7F"/>
        <rFont val="Arial"/>
        <sz val="11"/>
      </rPr>
      <t xml:space="preserve">CZY-260526</t>
    </r>
    <r>
      <rPr>
        <color rgb="FF7F7F7F"/>
        <rFont val="宋体"/>
        <sz val="11"/>
      </rPr>
      <t xml:space="preserve">》改为直连方案，运动学需要重新验证。</t>
    </r>
  </si>
  <si>
    <t>仿真代码转换c语言代码</t>
  </si>
  <si>
    <t>CZY-260623》目前建华支援AF，没有时间</t>
  </si>
  <si>
    <t xml:space="preserve">运动学代码调试和上机测试 </t>
  </si>
  <si>
    <t>力控开发</t>
  </si>
  <si>
    <t>【里程碑】完成样机运动学开发——QKM 版本直连方案</t>
  </si>
  <si>
    <t>第一次工业设计完成 - 初稿</t>
  </si>
  <si>
    <t>工业设计概念交付给 QKM</t>
  </si>
  <si>
    <t>CZY-260610》目前已拿到di</t>
  </si>
  <si>
    <t>QKM 选定工业设计方向</t>
  </si>
  <si>
    <t>CZY-260623》与品牌部沟通按照方案一细化</t>
  </si>
  <si>
    <t>根据工业设计进行样机密封设计</t>
  </si>
  <si>
    <r>
      <rPr>
        <color rgb="FF000000"/>
        <rFont val="Arial"/>
        <sz val="11"/>
      </rPr>
      <t xml:space="preserve">CZY-260710》设计一轴基座用于防水和EMC末端测试</t>
    </r>
    <r>
      <t xml:space="preserve">
</t>
    </r>
    <r>
      <rPr>
        <color rgb="FF000000"/>
        <rFont val="Arial"/>
        <sz val="11"/>
      </rPr>
      <t xml:space="preserve">CZY-260703》已完成工业设计模型运动学仿真，目前模组选型合理。</t>
    </r>
    <r>
      <rPr>
        <color rgb="FF000000"/>
        <rFont val="等线"/>
        <sz val="12"/>
      </rPr>
      <t xml:space="preserve">
</t>
    </r>
    <r>
      <rPr>
        <color rgb="FF7E7F7F"/>
        <rFont val="Arial"/>
        <sz val="11"/>
      </rPr>
      <t xml:space="preserve">CZY-260625》已拿到木马最新的模型下一步进行仿真分析</t>
    </r>
    <r>
      <rPr>
        <color rgb="FF7E7F7F"/>
        <rFont val="等线"/>
        <sz val="12"/>
      </rPr>
      <t xml:space="preserve">
</t>
    </r>
    <r>
      <rPr>
        <color rgb="FF7E7F7F"/>
        <rFont val="Arial"/>
        <sz val="11"/>
      </rPr>
      <t xml:space="preserve">CZY-260623</t>
    </r>
    <r>
      <rPr>
        <color rgb="FF7E7F7F"/>
        <rFont val="宋体"/>
        <sz val="11"/>
      </rPr>
      <t xml:space="preserve">》目前木马针对产品部的需要正在按照我们选定的方案一进行优化</t>
    </r>
    <r>
      <rPr>
        <color rgb="FF7E7F7F"/>
        <rFont val="Arial"/>
        <sz val="11"/>
      </rPr>
      <t xml:space="preserve">
</t>
    </r>
    <r>
      <rPr>
        <color rgb="FF7F7F7F"/>
        <rFont val="Arial"/>
        <sz val="11"/>
      </rPr>
      <t xml:space="preserve">CZY-260526</t>
    </r>
    <r>
      <rPr>
        <color rgb="FF7F7F7F"/>
        <rFont val="宋体"/>
        <sz val="11"/>
      </rPr>
      <t xml:space="preserve">》工业设计公司与</t>
    </r>
    <r>
      <rPr>
        <color rgb="FF7F7F7F"/>
        <rFont val="Arial"/>
        <sz val="11"/>
      </rPr>
      <t xml:space="preserve"> QKM </t>
    </r>
    <r>
      <rPr>
        <color rgb="FF7F7F7F"/>
        <rFont val="宋体"/>
        <sz val="11"/>
      </rPr>
      <t xml:space="preserve">共同完成此部分内容完善。工业设计公司在</t>
    </r>
    <r>
      <rPr>
        <color rgb="FF7F7F7F"/>
        <rFont val="Arial"/>
        <sz val="11"/>
      </rPr>
      <t xml:space="preserve"> QKM </t>
    </r>
    <r>
      <rPr>
        <color rgb="FF7F7F7F"/>
        <rFont val="宋体"/>
        <sz val="11"/>
      </rPr>
      <t xml:space="preserve">付款后</t>
    </r>
    <r>
      <rPr>
        <color rgb="FF7F7F7F"/>
        <rFont val="Arial"/>
        <sz val="11"/>
      </rPr>
      <t xml:space="preserve"> 10 </t>
    </r>
    <r>
      <rPr>
        <color rgb="FF7F7F7F"/>
        <rFont val="宋体"/>
        <sz val="11"/>
      </rPr>
      <t xml:space="preserve">个工作内会提交三个概念设计方向，</t>
    </r>
    <r>
      <rPr>
        <color rgb="FF7F7F7F"/>
        <rFont val="Arial"/>
        <sz val="11"/>
      </rPr>
      <t xml:space="preserve">QKM </t>
    </r>
    <r>
      <rPr>
        <color rgb="FF7F7F7F"/>
        <rFont val="宋体"/>
        <sz val="11"/>
      </rPr>
      <t xml:space="preserve">选定方向后由工业设计公司进行细化，</t>
    </r>
    <r>
      <rPr>
        <color rgb="FF7F7F7F"/>
        <rFont val="Arial"/>
        <sz val="11"/>
      </rPr>
      <t xml:space="preserve">QKM </t>
    </r>
    <r>
      <rPr>
        <color rgb="FF7F7F7F"/>
        <rFont val="宋体"/>
        <sz val="11"/>
      </rPr>
      <t xml:space="preserve">协助，共同完成。</t>
    </r>
  </si>
  <si>
    <t>根据工业设计进行样机外部走线设计</t>
  </si>
  <si>
    <t>根据工业设计进行样机内部走线空间优化</t>
  </si>
  <si>
    <t>根据工业设计进行灯带设计</t>
  </si>
  <si>
    <t>根据工业设计进行样机减重优化</t>
  </si>
  <si>
    <t>根据工业设计进行本体关节仿真核算</t>
  </si>
  <si>
    <t>根据工业设计进行动力学仿真核算</t>
  </si>
  <si>
    <t>按照优化后结构输出给工业设计</t>
  </si>
  <si>
    <t>【里程碑】工业设计方向确认</t>
  </si>
  <si>
    <t>【里程碑】工业设计初稿完成</t>
  </si>
  <si>
    <t>第二次工业设计完成 - 终稿</t>
  </si>
  <si>
    <t>工业设计终稿交付给 QKM</t>
  </si>
  <si>
    <t>【里程碑】工业设计完成</t>
  </si>
  <si>
    <t>Endboard 设计优化</t>
  </si>
  <si>
    <t>Endboard 硬件优化</t>
  </si>
  <si>
    <t>黄展扬</t>
  </si>
  <si>
    <r>
      <rPr>
        <color rgb="FF000000"/>
        <rFont val="Arial"/>
        <sz val="11"/>
      </rPr>
      <t xml:space="preserve">CZY-260623</t>
    </r>
    <r>
      <rPr>
        <color rgb="FF000000"/>
        <rFont val="宋体"/>
        <sz val="11"/>
      </rPr>
      <t xml:space="preserve">》目前嘉俊正在备齐电气物料</t>
    </r>
    <r>
      <rPr>
        <color rgb="FF000000"/>
        <rFont val="Arial"/>
        <sz val="11"/>
      </rPr>
      <t xml:space="preserve">
</t>
    </r>
    <r>
      <rPr>
        <color rgb="FF7F7F7F"/>
        <rFont val="Arial"/>
        <sz val="11"/>
      </rPr>
      <t xml:space="preserve">CZY-260526</t>
    </r>
    <r>
      <rPr>
        <color rgb="FF7F7F7F"/>
        <rFont val="宋体"/>
        <sz val="11"/>
      </rPr>
      <t xml:space="preserve">》与王彬确认由展扬协助优化</t>
    </r>
  </si>
  <si>
    <t>Endboard 电气优化</t>
  </si>
  <si>
    <t>【里程碑】Endboard 优化验证完成——QKM 版本直连方案</t>
  </si>
  <si>
    <t>黄展扬/赖周荣</t>
  </si>
  <si>
    <t>工业设计完成样机物料下单（机加）</t>
  </si>
  <si>
    <t>工业设计样机物料下单</t>
  </si>
  <si>
    <t>【里程碑】样机物料下单，成本输出——工业设计版本</t>
  </si>
  <si>
    <t>【里程碑】工业设计样机设计完成——工业设计版本</t>
  </si>
  <si>
    <t>工业设计样机组装测试</t>
  </si>
  <si>
    <t>重复定位精度测试</t>
  </si>
  <si>
    <t>【里程碑】样机物料到齐——工业设计版本</t>
  </si>
  <si>
    <t>【里程碑】样机组装完成——工业设计版本</t>
  </si>
  <si>
    <t>【里程碑】工业设计样机测试完成——工业设计版本</t>
  </si>
  <si>
    <r>
      <rPr>
        <color rgb="FF000000"/>
        <rFont val="Arial"/>
        <sz val="11"/>
      </rPr>
      <t xml:space="preserve">EMC</t>
    </r>
    <r>
      <rPr>
        <color rgb="FF000000"/>
        <rFont val="宋体"/>
        <sz val="11"/>
      </rPr>
      <t xml:space="preserve">摸底</t>
    </r>
    <r>
      <rPr>
        <color rgb="FF000000"/>
        <rFont val="Arial"/>
        <sz val="11"/>
      </rPr>
      <t xml:space="preserve">-</t>
    </r>
    <r>
      <rPr>
        <color rgb="FF000000"/>
        <rFont val="宋体"/>
        <sz val="11"/>
      </rPr>
      <t xml:space="preserve">工业设计样机</t>
    </r>
  </si>
  <si>
    <r>
      <rPr>
        <color rgb="FF000000"/>
        <rFont val="宋体"/>
        <sz val="11"/>
      </rPr>
      <t xml:space="preserve">静电放电抗扰度（</t>
    </r>
    <r>
      <rPr>
        <color rgb="FF000000"/>
        <rFont val="Arial"/>
        <sz val="11"/>
      </rPr>
      <t xml:space="preserve">ESD</t>
    </r>
    <r>
      <rPr>
        <color rgb="FF000000"/>
        <rFont val="宋体"/>
        <sz val="11"/>
      </rPr>
      <t xml:space="preserve">）</t>
    </r>
  </si>
  <si>
    <r>
      <rPr>
        <color rgb="FF000000"/>
        <rFont val="宋体"/>
        <sz val="11"/>
      </rPr>
      <t xml:space="preserve">赖周荣</t>
    </r>
    <r>
      <rPr>
        <color rgb="FF000000"/>
        <rFont val="Arial"/>
        <sz val="11"/>
      </rPr>
      <t xml:space="preserve">/</t>
    </r>
    <r>
      <rPr>
        <color rgb="FF000000"/>
        <rFont val="宋体"/>
        <sz val="11"/>
      </rPr>
      <t xml:space="preserve">龚嘉俊</t>
    </r>
  </si>
  <si>
    <t>工频磁场抗扰度</t>
  </si>
  <si>
    <t>WX-260515》根据测试经验，此部分可以不用测试，基本都能通过，可以节省时间、人力成本</t>
  </si>
  <si>
    <r>
      <rPr>
        <color rgb="FF000000"/>
        <rFont val="宋体"/>
        <sz val="11"/>
      </rPr>
      <t xml:space="preserve">电压暂降、短时中断和电压变化的抗扰度（</t>
    </r>
    <r>
      <rPr>
        <color rgb="FF000000"/>
        <rFont val="Arial"/>
        <sz val="11"/>
      </rPr>
      <t xml:space="preserve">DIP</t>
    </r>
    <r>
      <rPr>
        <color rgb="FF000000"/>
        <rFont val="宋体"/>
        <sz val="11"/>
      </rPr>
      <t xml:space="preserve">）</t>
    </r>
  </si>
  <si>
    <t>WX-260515》根据测试经验，电压暂降（跌落）和短时中断不用测试，基本都能通过，可以节省时间、人力成本</t>
  </si>
  <si>
    <r>
      <rPr>
        <color rgb="FF000000"/>
        <rFont val="宋体"/>
        <sz val="11"/>
      </rPr>
      <t xml:space="preserve">射频场感应的传导骚扰抗扰度</t>
    </r>
    <r>
      <rPr>
        <color rgb="FF000000"/>
        <rFont val="Arial"/>
        <sz val="11"/>
      </rPr>
      <t xml:space="preserve">(CS)</t>
    </r>
  </si>
  <si>
    <r>
      <rPr>
        <color rgb="FF000000"/>
        <rFont val="宋体"/>
        <sz val="11"/>
      </rPr>
      <t xml:space="preserve">射频电磁场辐射抗扰度</t>
    </r>
    <r>
      <rPr>
        <color rgb="FF000000"/>
        <rFont val="Arial"/>
        <sz val="11"/>
      </rPr>
      <t xml:space="preserve">(RS)</t>
    </r>
  </si>
  <si>
    <r>
      <rPr>
        <color rgb="FF000000"/>
        <rFont val="宋体"/>
        <sz val="11"/>
      </rPr>
      <t xml:space="preserve">电快速瞬变脉冲群抗扰度实验</t>
    </r>
    <r>
      <rPr>
        <color rgb="FF000000"/>
        <rFont val="Arial"/>
        <sz val="11"/>
      </rPr>
      <t xml:space="preserve">(EFT)</t>
    </r>
  </si>
  <si>
    <r>
      <rPr>
        <color rgb="FF000000"/>
        <rFont val="宋体"/>
        <sz val="11"/>
      </rPr>
      <t xml:space="preserve">辐射发射</t>
    </r>
    <r>
      <rPr>
        <color rgb="FF000000"/>
        <rFont val="Arial"/>
        <sz val="11"/>
      </rPr>
      <t xml:space="preserve">(RE)</t>
    </r>
  </si>
  <si>
    <r>
      <rPr>
        <color rgb="FF000000"/>
        <rFont val="宋体"/>
        <sz val="11"/>
      </rPr>
      <t xml:space="preserve">传导发射</t>
    </r>
    <r>
      <rPr>
        <color rgb="FF000000"/>
        <rFont val="Arial"/>
        <sz val="11"/>
      </rPr>
      <t xml:space="preserve">(CE)</t>
    </r>
  </si>
  <si>
    <r>
      <rPr>
        <b/>
        <color rgb="FF000000"/>
        <rFont val="宋体"/>
        <sz val="11"/>
      </rPr>
      <t xml:space="preserve">【里程碑】完成第二代样机的</t>
    </r>
    <r>
      <rPr>
        <b/>
        <color rgb="FF000000"/>
        <rFont val="Arial"/>
        <sz val="11"/>
      </rPr>
      <t xml:space="preserve"> EMC </t>
    </r>
    <r>
      <rPr>
        <b/>
        <color rgb="FF000000"/>
        <rFont val="宋体"/>
        <sz val="11"/>
      </rPr>
      <t xml:space="preserve">摸底测试</t>
    </r>
    <r>
      <rPr>
        <b/>
        <color rgb="FF000000"/>
        <rFont val="Arial"/>
        <sz val="11"/>
      </rPr>
      <t xml:space="preserve">— —</t>
    </r>
    <r>
      <rPr>
        <b/>
        <color rgb="FF000000"/>
        <rFont val="宋体"/>
        <sz val="11"/>
      </rPr>
      <t xml:space="preserve">工业设计版本</t>
    </r>
  </si>
  <si>
    <t>工业设计样机控制适配</t>
  </si>
  <si>
    <t>机器人控制（轨迹规划、PID）</t>
  </si>
  <si>
    <t>【里程碑】HE3配置文件已完成——工业设计版本</t>
  </si>
  <si>
    <t>结构件开模评估</t>
  </si>
  <si>
    <t>交付开模资料</t>
  </si>
  <si>
    <t>开模后物料验证</t>
  </si>
  <si>
    <t>模具验收</t>
  </si>
  <si>
    <t>【里程碑】开模完成——工业设计版本</t>
  </si>
  <si>
    <t>第二代软件功能</t>
  </si>
  <si>
    <r>
      <rPr>
        <color rgb="FF000000"/>
        <rFont val="Arial"/>
        <sz val="11"/>
      </rPr>
      <t xml:space="preserve">Endboard </t>
    </r>
    <r>
      <rPr>
        <color rgb="FF000000"/>
        <rFont val="宋体"/>
        <sz val="11"/>
      </rPr>
      <t xml:space="preserve">功能测试</t>
    </r>
  </si>
  <si>
    <t>CZY-260424》MS6之前开发到CDR阶段，测试过点位示教和免驱，可以满足目前需求，后续换到HE3上继续测试</t>
  </si>
  <si>
    <r>
      <rPr>
        <color rgb="FF000000"/>
        <rFont val="Arial"/>
        <sz val="11"/>
      </rPr>
      <t xml:space="preserve">Endboard </t>
    </r>
    <r>
      <rPr>
        <color rgb="FF000000"/>
        <rFont val="宋体"/>
        <sz val="11"/>
      </rPr>
      <t xml:space="preserve">问题收集与反馈</t>
    </r>
  </si>
  <si>
    <r>
      <rPr>
        <b/>
        <color rgb="FF000000"/>
        <rFont val="宋体"/>
        <sz val="11"/>
      </rPr>
      <t xml:space="preserve">【关键点】</t>
    </r>
    <r>
      <rPr>
        <b/>
        <color rgb="FF000000"/>
        <rFont val="Arial"/>
        <sz val="11"/>
      </rPr>
      <t xml:space="preserve">Endboard </t>
    </r>
    <r>
      <rPr>
        <b/>
        <color rgb="FF000000"/>
        <rFont val="宋体"/>
        <sz val="11"/>
      </rPr>
      <t xml:space="preserve">开发完善</t>
    </r>
  </si>
  <si>
    <t>郑荣魁</t>
  </si>
  <si>
    <t>TBD</t>
  </si>
  <si>
    <t>CZY-260424》MS6之前开发到CDR阶段，测试过点位示教和免驱，可以满足目前需求，后续换到HE3上继续测试，目前 Endboard 还是样机，荣魁反馈今年没有规划重启开发，此部分任务完成时间待定</t>
  </si>
  <si>
    <t>【关键点】控制算法（轨迹规划等）优化与验证</t>
  </si>
  <si>
    <t>2026/10/E</t>
  </si>
  <si>
    <t>CZY-260424》与庆富和王彬沟通后，HE3的轨迹规划任务【任务 #65126】优先级没那么高，因为目前的轨迹规划是能用的。后面会打算用更优的控制方法，大概会在Q3末、Q4这个时间端开展更细致的任务规划。</t>
  </si>
  <si>
    <t>【关键点】软件高级功能开发（如重力补偿、阻抗控制、拖拽示教等）</t>
  </si>
  <si>
    <r>
      <rPr>
        <color rgb="FF000000"/>
        <rFont val="宋体"/>
        <sz val="11"/>
      </rPr>
      <t xml:space="preserve">王彬</t>
    </r>
    <r>
      <rPr>
        <color rgb="FF000000"/>
        <rFont val="Arial"/>
        <sz val="11"/>
      </rPr>
      <t xml:space="preserve">/</t>
    </r>
    <r>
      <rPr>
        <color rgb="FF000000"/>
        <rFont val="宋体"/>
        <sz val="11"/>
      </rPr>
      <t xml:space="preserve">李建华</t>
    </r>
  </si>
  <si>
    <t>【关键点】COMM-E一拖二控制</t>
  </si>
  <si>
    <r>
      <rPr>
        <color rgb="FF000000"/>
        <rFont val="Arial"/>
        <sz val="11"/>
      </rPr>
      <t xml:space="preserve">HE3 </t>
    </r>
    <r>
      <rPr>
        <color rgb="FF000000"/>
        <rFont val="宋体"/>
        <sz val="11"/>
      </rPr>
      <t xml:space="preserve">物料下单</t>
    </r>
  </si>
  <si>
    <t>机械本体物料下单</t>
  </si>
  <si>
    <r>
      <rPr>
        <color rgb="FF000000"/>
        <rFont val="Arial"/>
        <sz val="11"/>
      </rPr>
      <t xml:space="preserve">CZY-260526</t>
    </r>
    <r>
      <rPr>
        <color rgb="FF000000"/>
        <rFont val="宋体"/>
        <sz val="11"/>
      </rPr>
      <t xml:space="preserve">》若交付紧急可先试用机加件</t>
    </r>
  </si>
  <si>
    <r>
      <rPr>
        <color rgb="FF000000"/>
        <rFont val="宋体"/>
        <sz val="11"/>
      </rPr>
      <t xml:space="preserve">电控柜电气物料下单</t>
    </r>
  </si>
  <si>
    <r>
      <rPr>
        <color rgb="FF000000"/>
        <rFont val="宋体"/>
        <sz val="11"/>
      </rPr>
      <t xml:space="preserve">赖周荣</t>
    </r>
  </si>
  <si>
    <t>【里程碑】机械和电气物料下单完成——工业设计版本</t>
  </si>
  <si>
    <r>
      <rPr>
        <color rgb="FF000000"/>
        <rFont val="宋体"/>
        <sz val="11"/>
      </rPr>
      <t xml:space="preserve">包装设计</t>
    </r>
  </si>
  <si>
    <r>
      <rPr>
        <color rgb="FF000000"/>
        <rFont val="宋体"/>
        <sz val="11"/>
      </rPr>
      <t xml:space="preserve">包装方案确定</t>
    </r>
    <r>
      <rPr>
        <color rgb="FF000000"/>
        <rFont val="Arial"/>
        <sz val="11"/>
      </rPr>
      <t xml:space="preserve">&amp;</t>
    </r>
    <r>
      <rPr>
        <color rgb="FF000000"/>
        <rFont val="宋体"/>
        <sz val="11"/>
      </rPr>
      <t xml:space="preserve">包装设计出图</t>
    </r>
  </si>
  <si>
    <r>
      <rPr>
        <color rgb="FF000000"/>
        <rFont val="宋体"/>
        <sz val="11"/>
      </rPr>
      <t xml:space="preserve">包装图纸外发</t>
    </r>
  </si>
  <si>
    <r>
      <rPr>
        <color rgb="FF000000"/>
        <rFont val="宋体"/>
        <sz val="11"/>
      </rPr>
      <t xml:space="preserve">产品外包装铭牌</t>
    </r>
    <r>
      <rPr>
        <color rgb="FF000000"/>
        <rFont val="Arial"/>
        <sz val="11"/>
      </rPr>
      <t xml:space="preserve">&amp;</t>
    </r>
    <r>
      <rPr>
        <color rgb="FF000000"/>
        <rFont val="宋体"/>
        <sz val="11"/>
      </rPr>
      <t xml:space="preserve">序列标签确定</t>
    </r>
  </si>
  <si>
    <r>
      <rPr>
        <color rgb="FF000000"/>
        <rFont val="宋体"/>
        <sz val="11"/>
      </rPr>
      <t xml:space="preserve">吕金川</t>
    </r>
  </si>
  <si>
    <t>【里程碑】第二版包装设计完成——工业设计版本</t>
  </si>
  <si>
    <r>
      <rPr>
        <color rgb="FF000000"/>
        <rFont val="宋体"/>
        <sz val="11"/>
      </rPr>
      <t xml:space="preserve">陈真宇</t>
    </r>
    <r>
      <rPr>
        <color rgb="FF000000"/>
        <rFont val="Arial"/>
        <sz val="11"/>
      </rPr>
      <t xml:space="preserve">/</t>
    </r>
    <r>
      <rPr>
        <color rgb="FF000000"/>
        <rFont val="宋体"/>
        <sz val="11"/>
      </rPr>
      <t xml:space="preserve">吕金川</t>
    </r>
  </si>
  <si>
    <r>
      <rPr>
        <color rgb="FF000000"/>
        <rFont val="宋体"/>
        <sz val="11"/>
      </rPr>
      <t xml:space="preserve">工装治具清单制定</t>
    </r>
  </si>
  <si>
    <r>
      <rPr>
        <color rgb="FF000000"/>
        <rFont val="宋体"/>
        <sz val="11"/>
      </rPr>
      <t xml:space="preserve">辅料清单输出</t>
    </r>
  </si>
  <si>
    <r>
      <rPr>
        <color rgb="FF000000"/>
        <rFont val="宋体"/>
        <sz val="11"/>
      </rPr>
      <t xml:space="preserve">产品工艺流程图制定</t>
    </r>
  </si>
  <si>
    <r>
      <rPr>
        <color rgb="FF000000"/>
        <rFont val="宋体"/>
        <sz val="11"/>
      </rPr>
      <t xml:space="preserve">产线搭建</t>
    </r>
  </si>
  <si>
    <r>
      <rPr>
        <color rgb="FF000000"/>
        <rFont val="宋体"/>
        <sz val="11"/>
      </rPr>
      <t xml:space="preserve">聂玉清</t>
    </r>
  </si>
  <si>
    <r>
      <rPr>
        <color rgb="FF000000"/>
        <rFont val="宋体"/>
        <sz val="11"/>
      </rPr>
      <t xml:space="preserve">编制生产工艺文件、作业指导书</t>
    </r>
  </si>
  <si>
    <r>
      <rPr>
        <color rgb="FF000000"/>
        <rFont val="宋体"/>
        <sz val="11"/>
      </rPr>
      <t xml:space="preserve">陈真宇</t>
    </r>
    <r>
      <rPr>
        <color rgb="FF000000"/>
        <rFont val="Arial"/>
        <sz val="11"/>
      </rPr>
      <t xml:space="preserve">/</t>
    </r>
    <r>
      <rPr>
        <color rgb="FF000000"/>
        <rFont val="宋体"/>
        <sz val="11"/>
      </rPr>
      <t xml:space="preserve">聂玉清</t>
    </r>
  </si>
  <si>
    <r>
      <rPr>
        <color rgb="FF000000"/>
        <rFont val="宋体"/>
        <sz val="11"/>
      </rPr>
      <t xml:space="preserve">标准工时核定</t>
    </r>
  </si>
  <si>
    <r>
      <rPr>
        <b/>
        <color rgb="FF000000"/>
        <rFont val="宋体"/>
        <sz val="11"/>
      </rPr>
      <t xml:space="preserve">【里程碑】生产相关资料完成</t>
    </r>
    <r>
      <rPr>
        <b/>
        <color rgb="FF000000"/>
        <rFont val="Arial"/>
        <sz val="11"/>
      </rPr>
      <t xml:space="preserve">——</t>
    </r>
    <r>
      <rPr>
        <b/>
        <color rgb="FF000000"/>
        <rFont val="宋体"/>
        <sz val="11"/>
      </rPr>
      <t xml:space="preserve">工业设计版本</t>
    </r>
  </si>
  <si>
    <r>
      <rPr>
        <color rgb="FF000000"/>
        <rFont val="Arial"/>
        <sz val="11"/>
      </rPr>
      <t xml:space="preserve">Autotest</t>
    </r>
    <r>
      <rPr>
        <color rgb="FF000000"/>
        <rFont val="宋体"/>
        <sz val="11"/>
      </rPr>
      <t xml:space="preserve">参数配置</t>
    </r>
  </si>
  <si>
    <r>
      <rPr>
        <b/>
        <color rgb="FF000000"/>
        <rFont val="宋体"/>
        <sz val="11"/>
      </rPr>
      <t xml:space="preserve">【里程碑】</t>
    </r>
    <r>
      <rPr>
        <b/>
        <color rgb="FF000000"/>
        <rFont val="Arial"/>
        <sz val="11"/>
      </rPr>
      <t xml:space="preserve">Autotest</t>
    </r>
    <r>
      <rPr>
        <b/>
        <color rgb="FF000000"/>
        <rFont val="宋体"/>
        <sz val="11"/>
      </rPr>
      <t xml:space="preserve">配置完成</t>
    </r>
    <r>
      <rPr>
        <b/>
        <color rgb="FF000000"/>
        <rFont val="Arial"/>
        <sz val="11"/>
      </rPr>
      <t xml:space="preserve">——</t>
    </r>
    <r>
      <rPr>
        <b/>
        <color rgb="FF000000"/>
        <rFont val="宋体"/>
        <sz val="11"/>
      </rPr>
      <t xml:space="preserve">工业设计版本</t>
    </r>
  </si>
  <si>
    <t>赖文荣</t>
  </si>
  <si>
    <t>【里程碑】第二批生产出货整机物料到齐——工业设计版本</t>
  </si>
  <si>
    <t>【里程碑】生产整机组装完成——工业设计版本</t>
  </si>
  <si>
    <r>
      <rPr>
        <color rgb="FF000000"/>
        <rFont val="宋体"/>
        <sz val="11"/>
      </rPr>
      <t xml:space="preserve">拉线编码器标定杆长</t>
    </r>
  </si>
  <si>
    <t>【里程碑】生产整机出厂测试完成——工业设计版本</t>
  </si>
  <si>
    <r>
      <rPr>
        <b/>
        <color rgb="FF000000"/>
        <rFont val="宋体"/>
        <sz val="11"/>
      </rPr>
      <t xml:space="preserve">【里程碑】第二批</t>
    </r>
    <r>
      <rPr>
        <b/>
        <color rgb="FF000000"/>
        <rFont val="Arial"/>
        <sz val="11"/>
      </rPr>
      <t xml:space="preserve">HE3</t>
    </r>
    <r>
      <rPr>
        <b/>
        <color rgb="FF000000"/>
        <rFont val="宋体"/>
        <sz val="11"/>
      </rPr>
      <t xml:space="preserve">机械臂交付——工业设计版本</t>
    </r>
  </si>
  <si>
    <t>【里程碑】FDR阶段评审——工业设计版本</t>
  </si>
  <si>
    <t>7轴机械臂研发技术要求文档</t>
  </si>
  <si>
    <t>1. 概述</t>
  </si>
  <si>
    <r>
      <rPr>
        <b/>
        <color rgb="FF1F1F1F"/>
        <rFont val="Google Sans"/>
        <sz val="11"/>
      </rPr>
      <t xml:space="preserve">产品定位</t>
    </r>
    <r>
      <rPr>
        <color rgb="FF1F1F1F"/>
        <rFont val="Google Sans"/>
        <sz val="11"/>
      </rPr>
      <t xml:space="preserve">：开发一款</t>
    </r>
    <r>
      <rPr>
        <color rgb="FF1F1F1F"/>
        <rFont val="宋体"/>
        <sz val="11"/>
      </rPr>
      <t xml:space="preserve">由</t>
    </r>
    <r>
      <rPr>
        <color rgb="FF1F1F1F"/>
        <rFont val="Google Sans"/>
        <sz val="11"/>
      </rPr>
      <t xml:space="preserve">7轴机械臂组成</t>
    </r>
    <r>
      <rPr>
        <color rgb="FF1F1F1F"/>
        <rFont val="宋体"/>
        <sz val="11"/>
      </rPr>
      <t xml:space="preserve">的</t>
    </r>
    <r>
      <rPr>
        <color rgb="FF1F1F1F"/>
        <rFont val="Google Sans"/>
        <sz val="11"/>
      </rPr>
      <t xml:space="preserve">双臂机器人，其中单臂具备 7 自由度，强调高自由度控制、高功率密度、工业级稳定通信及严苛环境适应性。</t>
    </r>
  </si>
  <si>
    <r>
      <rPr>
        <b/>
        <color rgb="FF1F1F1F"/>
        <rFont val="Google Sans"/>
        <sz val="11"/>
      </rPr>
      <t xml:space="preserve">应用场景</t>
    </r>
    <r>
      <rPr>
        <color rgb="FF1F1F1F"/>
        <rFont val="Google Sans"/>
        <sz val="11"/>
      </rPr>
      <t xml:space="preserve">：人形机器人双臂系统。</t>
    </r>
  </si>
  <si>
    <r>
      <rPr>
        <b/>
        <color rgb="FF1F1F1F"/>
        <rFont val="Google Sans"/>
        <sz val="11"/>
      </rPr>
      <t xml:space="preserve">安全性设计</t>
    </r>
    <r>
      <rPr>
        <color rgb="FF1F1F1F"/>
        <rFont val="Google Sans"/>
        <sz val="11"/>
      </rPr>
      <t xml:space="preserve">：确保人机协作的安全性。</t>
    </r>
  </si>
  <si>
    <t>2. 系统构成</t>
  </si>
  <si>
    <t>双臂机器人系统主要由以下部件组成：</t>
  </si>
  <si>
    <r>
      <rPr>
        <b/>
        <color rgb="FF1F1F1F"/>
        <rFont val="Google Sans"/>
        <sz val="11"/>
      </rPr>
      <t xml:space="preserve">控制柜</t>
    </r>
    <r>
      <rPr>
        <color rgb="FF1F1F1F"/>
        <rFont val="Google Sans"/>
        <sz val="11"/>
      </rPr>
      <t xml:space="preserve">：包括核心运算部件，以及多种电气接口。</t>
    </r>
  </si>
  <si>
    <r>
      <rPr>
        <b/>
        <color rgb="FF1F1F1F"/>
        <rFont val="Google Sans"/>
        <sz val="11"/>
      </rPr>
      <t xml:space="preserve">操作终端</t>
    </r>
    <r>
      <rPr>
        <color rgb="FF1F1F1F"/>
        <rFont val="Google Sans"/>
        <sz val="11"/>
      </rPr>
      <t xml:space="preserve">：用户进行控制机器人、编程、设置等操作的设备。</t>
    </r>
  </si>
  <si>
    <r>
      <rPr>
        <b/>
        <color rgb="FF1F1F1F"/>
        <rFont val="Google Sans"/>
        <sz val="11"/>
      </rPr>
      <t xml:space="preserve">EtherCAT 通讯模块</t>
    </r>
    <r>
      <rPr>
        <color rgb="FF1F1F1F"/>
        <rFont val="Google Sans"/>
        <sz val="11"/>
      </rPr>
      <t xml:space="preserve">：用于实现机器人本体与控制柜之间的高速实时通讯。支持分布式时钟同步，实现多轴同步及双臂同步，确保同步精度达微秒级。</t>
    </r>
  </si>
  <si>
    <r>
      <rPr>
        <b/>
        <color rgb="FF1F1F1F"/>
        <rFont val="Google Sans"/>
        <sz val="11"/>
      </rPr>
      <t xml:space="preserve">双臂机器人</t>
    </r>
    <r>
      <rPr>
        <color rgb="FF1F1F1F"/>
        <rFont val="Google Sans"/>
        <sz val="11"/>
      </rPr>
      <t xml:space="preserve">：单臂包括7个旋转运动关节。</t>
    </r>
  </si>
  <si>
    <r>
      <rPr>
        <b/>
        <color rgb="FF1F1F1F"/>
        <rFont val="Google Sans"/>
        <sz val="11"/>
      </rPr>
      <t xml:space="preserve">制动电阻</t>
    </r>
    <r>
      <rPr>
        <color rgb="FF1F1F1F"/>
        <rFont val="Google Sans"/>
        <sz val="11"/>
      </rPr>
      <t xml:space="preserve">：用于消耗控制柜产生的多余电能以维持电压稳定。</t>
    </r>
  </si>
  <si>
    <r>
      <rPr>
        <b/>
        <color rgb="FF1F1F1F"/>
        <rFont val="Google Sans"/>
        <sz val="11"/>
      </rPr>
      <t xml:space="preserve">直流电源</t>
    </r>
    <r>
      <rPr>
        <color rgb="FF1F1F1F"/>
        <rFont val="Google Sans"/>
        <sz val="11"/>
      </rPr>
      <t xml:space="preserve">：用于控制柜的供电。支持 DC 30-60V 宽电压范围，建议采用 48V 供电。</t>
    </r>
  </si>
  <si>
    <t xml:space="preserve"> </t>
  </si>
  <si>
    <t>3. 机械结构与运动学指标</t>
  </si>
  <si>
    <t>3.1 自由度与运动学布局</t>
  </si>
  <si>
    <t>机械臂应具有7个转动关节：上臂可实现左右摆动、抬降、前后摆，肘部一轴弯曲，腕部三轴实现俯仰、偏转及绕轴旋转。关节排列应尽量避免奇异位姿，提高柔顺性。建议关节旋转轴线互相垂直或符合人体工程学布局，构成SCARA+旋转手腕或类似结构，确保运动稳定可靠。</t>
  </si>
  <si>
    <t>3.2 核心性能参数</t>
  </si>
  <si>
    <t>指标项目</t>
  </si>
  <si>
    <t>技术要求</t>
  </si>
  <si>
    <t>自由度 (DOF)</t>
  </si>
  <si>
    <t>7 轴</t>
  </si>
  <si>
    <t>肩部3+肘部1+腕部3</t>
  </si>
  <si>
    <t>额定负载</t>
  </si>
  <si>
    <t>≥ 1kg</t>
  </si>
  <si>
    <t>满工作半径下</t>
  </si>
  <si>
    <t>有效工作半径</t>
  </si>
  <si>
    <t>≥ 900mm</t>
  </si>
  <si>
    <t>-</t>
  </si>
  <si>
    <t>重复定位精度</t>
  </si>
  <si>
    <t>≤ ±0.03mm</t>
  </si>
  <si>
    <t>满足精密作业要求</t>
  </si>
  <si>
    <t>本体重量目标</t>
  </si>
  <si>
    <t>≤ 13.5kg</t>
  </si>
  <si>
    <t>轻量化集成设计</t>
  </si>
  <si>
    <t>360° 任意角度</t>
  </si>
  <si>
    <t>支持正装、倒装、侧装</t>
  </si>
  <si>
    <r>
      <rPr>
        <b/>
        <color rgb="FF1F1F1F"/>
        <rFont val="Google Sans"/>
        <sz val="14"/>
      </rPr>
      <t xml:space="preserve">3.3 </t>
    </r>
    <r>
      <rPr>
        <b/>
        <color rgb="FF000000"/>
        <rFont val="Google Sans"/>
        <sz val="14"/>
      </rPr>
      <t xml:space="preserve">关节运动范围与速度</t>
    </r>
  </si>
  <si>
    <t>关节编号</t>
  </si>
  <si>
    <t>运动范围（根据关节构型而定）</t>
  </si>
  <si>
    <t>最大速度</t>
  </si>
  <si>
    <r>
      <rPr>
        <b/>
        <color rgb="FF000000"/>
        <rFont val="Google Sans"/>
        <sz val="11"/>
      </rPr>
      <t xml:space="preserve">最大加速度</t>
    </r>
    <r>
      <rPr>
        <b/>
        <color rgb="FF000000"/>
        <rFont val="宋体"/>
        <sz val="11"/>
      </rPr>
      <t xml:space="preserve">（实测）</t>
    </r>
  </si>
  <si>
    <t>±180°</t>
  </si>
  <si>
    <t>≥ 180°/s</t>
  </si>
  <si>
    <t>≥ 540°/s²</t>
  </si>
  <si>
    <r>
      <rPr>
        <color rgb="FF000000"/>
        <rFont val="Google Sans"/>
        <sz val="11"/>
      </rPr>
      <t xml:space="preserve">±</t>
    </r>
    <r>
      <rPr>
        <color rgb="FF000000"/>
        <rFont val="Google Sans"/>
        <sz val="11"/>
      </rPr>
      <t xml:space="preserve">90</t>
    </r>
    <r>
      <rPr>
        <color rgb="FF000000"/>
        <rFont val="Google Sans"/>
        <sz val="11"/>
      </rPr>
      <t xml:space="preserve">°</t>
    </r>
  </si>
  <si>
    <t>±85°</t>
  </si>
  <si>
    <t>末端速度</t>
  </si>
  <si>
    <t>≥2 m/s</t>
  </si>
  <si>
    <t>4. 关节执行器与传动系统</t>
  </si>
  <si>
    <r>
      <rPr>
        <b/>
        <color rgb="FF1F1F1F"/>
        <rFont val="Google Sans"/>
        <sz val="11"/>
      </rPr>
      <t xml:space="preserve">高度集成模块</t>
    </r>
    <r>
      <rPr>
        <color rgb="FF1F1F1F"/>
        <rFont val="Google Sans"/>
        <sz val="11"/>
      </rPr>
      <t xml:space="preserve">：每个关节采用高度集成设计，包含电机、减速器、双编码器、制动保持器及通讯驱动器等，可选关节扭矩传感器。</t>
    </r>
  </si>
  <si>
    <r>
      <rPr>
        <b/>
        <color rgb="FF1F1F1F"/>
        <rFont val="Google Sans"/>
        <sz val="11"/>
      </rPr>
      <t xml:space="preserve">驱动器控制性能</t>
    </r>
    <r>
      <rPr>
        <color rgb="FF1F1F1F"/>
        <rFont val="Google Sans"/>
        <sz val="11"/>
      </rPr>
      <t xml:space="preserve">：</t>
    </r>
  </si>
  <si>
    <r>
      <rPr>
        <b/>
        <color rgb="FF1F1F1F"/>
        <rFont val="Google Sans"/>
        <sz val="11"/>
      </rPr>
      <t xml:space="preserve">内置 EtherCAT 通讯驱动器</t>
    </r>
    <r>
      <rPr>
        <color rgb="FF1F1F1F"/>
        <rFont val="Google Sans"/>
        <sz val="11"/>
      </rPr>
      <t xml:space="preserve">：支持高带宽实时通讯。</t>
    </r>
  </si>
  <si>
    <r>
      <rPr>
        <b/>
        <color rgb="FF1F1F1F"/>
        <rFont val="Google Sans"/>
        <sz val="11"/>
      </rPr>
      <t xml:space="preserve">四环控制架构</t>
    </r>
    <r>
      <rPr>
        <color rgb="FF1F1F1F"/>
        <rFont val="Google Sans"/>
        <sz val="11"/>
      </rPr>
      <t xml:space="preserve">：驱动器具备位置环、速度环、力矩环及电流环的深度集成控制。</t>
    </r>
  </si>
  <si>
    <r>
      <rPr>
        <b/>
        <color rgb="FF1F1F1F"/>
        <rFont val="Google Sans"/>
        <sz val="11"/>
      </rPr>
      <t xml:space="preserve">传动与制动技术</t>
    </r>
    <r>
      <rPr>
        <color rgb="FF1F1F1F"/>
        <rFont val="Google Sans"/>
        <sz val="11"/>
      </rPr>
      <t xml:space="preserve">：</t>
    </r>
  </si>
  <si>
    <r>
      <rPr>
        <b/>
        <color rgb="FF1F1F1F"/>
        <rFont val="Google Sans"/>
        <sz val="11"/>
      </rPr>
      <t xml:space="preserve">减速器</t>
    </r>
    <r>
      <rPr>
        <color rgb="FF1F1F1F"/>
        <rFont val="Google Sans"/>
        <sz val="11"/>
      </rPr>
      <t xml:space="preserve">：采用高精度谐波减速器，确保低背隙与长寿命。</t>
    </r>
  </si>
  <si>
    <r>
      <rPr>
        <b/>
        <color rgb="FF1F1F1F"/>
        <rFont val="Google Sans"/>
        <sz val="11"/>
      </rPr>
      <t xml:space="preserve">内置摩擦式制动保持器</t>
    </r>
    <r>
      <rPr>
        <color rgb="FF1F1F1F"/>
        <rFont val="Google Sans"/>
        <sz val="11"/>
      </rPr>
      <t xml:space="preserve">：要求实现停机无漂移、开机无抖动，确保在断电或紧急制动状态下的姿态绝对锁定。</t>
    </r>
  </si>
  <si>
    <r>
      <rPr>
        <b/>
        <color rgb="FF1F1F1F"/>
        <rFont val="Google Sans"/>
        <sz val="11"/>
      </rPr>
      <t xml:space="preserve">示教性能</t>
    </r>
    <r>
      <rPr>
        <color rgb="FF1F1F1F"/>
        <rFont val="Google Sans"/>
        <sz val="11"/>
      </rPr>
      <t xml:space="preserve">：</t>
    </r>
    <r>
      <rPr>
        <color rgb="FF1F1F1F"/>
        <rFont val="宋体"/>
        <sz val="11"/>
      </rPr>
      <t xml:space="preserve">目前只支持示教器方式。</t>
    </r>
  </si>
  <si>
    <t>5. 传感器与反馈系统</t>
  </si>
  <si>
    <t>传感器类型</t>
  </si>
  <si>
    <t>技术方案</t>
  </si>
  <si>
    <t>功能描述</t>
  </si>
  <si>
    <t>编码器系统</t>
  </si>
  <si>
    <t>内置双绝对值编码器</t>
  </si>
  <si>
    <t>采用电机端+输出端双绝对值反馈。</t>
  </si>
  <si>
    <t>零点记录</t>
  </si>
  <si>
    <r>
      <rPr>
        <color rgb="FF000000"/>
        <rFont val="宋体"/>
        <sz val="11"/>
      </rPr>
      <t xml:space="preserve">暂不支持</t>
    </r>
    <r>
      <rPr>
        <color rgb="FF000000"/>
        <rFont val="Google Sans"/>
        <sz val="11"/>
      </rPr>
      <t xml:space="preserve">无电池记录方案</t>
    </r>
  </si>
  <si>
    <r>
      <rPr>
        <color rgb="FF000000"/>
        <rFont val="宋体"/>
        <sz val="11"/>
      </rPr>
      <t xml:space="preserve">暂不支持</t>
    </r>
    <r>
      <rPr>
        <color rgb="FF000000"/>
        <rFont val="Google Sans"/>
        <sz val="11"/>
      </rPr>
      <t xml:space="preserve">无电池记录方案</t>
    </r>
    <r>
      <rPr>
        <color rgb="FF1F1F1F"/>
        <rFont val="Google Sans"/>
        <sz val="11"/>
      </rPr>
      <t xml:space="preserve">。</t>
    </r>
  </si>
  <si>
    <t>关节力感知</t>
  </si>
  <si>
    <t>电流力矩估计/扭矩传感器（可选）</t>
  </si>
  <si>
    <t>支持高精度重力补偿与碰撞检测。</t>
  </si>
  <si>
    <t>末端力感知</t>
  </si>
  <si>
    <t>6轴力传感器接口（可选）</t>
  </si>
  <si>
    <t>预留通信，支持校零与感知补偿。</t>
  </si>
  <si>
    <t>环境监测</t>
  </si>
  <si>
    <t>关节集成温度传感器</t>
  </si>
  <si>
    <t>支持过热降额保护逻辑。</t>
  </si>
  <si>
    <r>
      <rPr>
        <b/>
        <color rgb="FF1F1F1F"/>
        <rFont val="Google Sans"/>
        <sz val="18"/>
      </rPr>
      <t xml:space="preserve">6.</t>
    </r>
    <r>
      <rPr>
        <b/>
        <color rgb="FFEE0000"/>
        <rFont val="Google Sans"/>
        <sz val="18"/>
      </rPr>
      <t xml:space="preserve"> </t>
    </r>
    <r>
      <rPr>
        <b/>
        <color rgb="FF000000"/>
        <rFont val="Google Sans"/>
        <sz val="18"/>
      </rPr>
      <t xml:space="preserve">通信方式要求</t>
    </r>
  </si>
  <si>
    <t>6.1网口定义 (4路以太网)</t>
  </si>
  <si>
    <t>接口编号</t>
  </si>
  <si>
    <t>接口名称</t>
  </si>
  <si>
    <t>数量</t>
  </si>
  <si>
    <t>功能描述与协议支持</t>
  </si>
  <si>
    <t>网口一</t>
  </si>
  <si>
    <t>用户以太网接口</t>
  </si>
  <si>
    <t>支持 TCP/IP, 用于与客户控制板、电脑等外部设备通讯。</t>
  </si>
  <si>
    <t>网口二</t>
  </si>
  <si>
    <t>EtherCAT 接口</t>
  </si>
  <si>
    <t>用于机器人本体与外部核心控制单元之间的高速实时数据同步。</t>
  </si>
  <si>
    <t>网口三</t>
  </si>
  <si>
    <t>MCP 接口</t>
  </si>
  <si>
    <t>专用接口，用于连接 MCP 手持示教器。</t>
  </si>
  <si>
    <t>6.2 串行与总线通讯接口</t>
  </si>
  <si>
    <t>接口类别</t>
  </si>
  <si>
    <t>描述与用途</t>
  </si>
  <si>
    <t>RS-232</t>
  </si>
  <si>
    <t>串口通讯接口。</t>
  </si>
  <si>
    <t>CAN总线</t>
  </si>
  <si>
    <t>总线通讯接口。</t>
  </si>
  <si>
    <r>
      <rPr>
        <b/>
        <color rgb="FF1F1F1F"/>
        <rFont val="Google Sans"/>
        <sz val="18"/>
      </rPr>
      <t xml:space="preserve">7. </t>
    </r>
    <r>
      <rPr>
        <b/>
        <color rgb="FF000000"/>
        <rFont val="Google Sans"/>
        <sz val="18"/>
      </rPr>
      <t xml:space="preserve">运动控制要求</t>
    </r>
  </si>
  <si>
    <t>机器人控制系统需支持以下运动控制功能，并提供相应的 API 接口：</t>
  </si>
  <si>
    <t>7.1 基础轨迹控制</t>
  </si>
  <si>
    <r>
      <rPr>
        <b/>
        <color rgb="FF1F1F1F"/>
        <rFont val="Google Sans"/>
        <sz val="11"/>
      </rPr>
      <t xml:space="preserve">MoveJ (关节空间运动)</t>
    </r>
    <r>
      <rPr>
        <color rgb="FF1F1F1F"/>
        <rFont val="Google Sans"/>
        <sz val="11"/>
      </rPr>
      <t xml:space="preserve">：各关节以同步协同方式运动到目标位姿，支持设置速度百分比及加速度。</t>
    </r>
  </si>
  <si>
    <r>
      <rPr>
        <b/>
        <color rgb="FF1F1F1F"/>
        <rFont val="Google Sans"/>
        <sz val="11"/>
      </rPr>
      <t xml:space="preserve">MoveL (笛卡尔空间直线运动)</t>
    </r>
    <r>
      <rPr>
        <color rgb="FF1F1F1F"/>
        <rFont val="Google Sans"/>
        <sz val="11"/>
      </rPr>
      <t xml:space="preserve">：末端 TCP 以直线方式运动到目标位姿，支持平滑姿态插补。</t>
    </r>
  </si>
  <si>
    <r>
      <rPr>
        <b/>
        <color rgb="FF1F1F1F"/>
        <rFont val="Google Sans"/>
        <sz val="11"/>
      </rPr>
      <t xml:space="preserve">MoveC (笛卡尔空间圆弧运动)</t>
    </r>
    <r>
      <rPr>
        <color rgb="FF1F1F1F"/>
        <rFont val="Google Sans"/>
        <sz val="11"/>
      </rPr>
      <t xml:space="preserve">：通过起点、途径点及终点实现圆弧轨迹运动。</t>
    </r>
  </si>
  <si>
    <t>7.2 实时流式控制</t>
  </si>
  <si>
    <r>
      <rPr>
        <b/>
        <color rgb="FF1F1F1F"/>
        <rFont val="Google Sans"/>
        <sz val="11"/>
      </rPr>
      <t xml:space="preserve">ServoJ (关节透传)</t>
    </r>
    <r>
      <rPr>
        <color rgb="FF1F1F1F"/>
        <rFont val="Google Sans"/>
        <sz val="11"/>
      </rPr>
      <t xml:space="preserve">：支持外部控制器高频率推送位置指令，具备指令平滑过滤算法。</t>
    </r>
  </si>
  <si>
    <r>
      <rPr>
        <b/>
        <color rgb="FF1F1F1F"/>
        <rFont val="Google Sans"/>
        <sz val="11"/>
      </rPr>
      <t xml:space="preserve">ServoJ </t>
    </r>
    <r>
      <rPr>
        <b/>
        <color rgb="FF000000"/>
        <rFont val="Noto Sans SC"/>
        <sz val="12"/>
      </rPr>
      <t xml:space="preserve">指标</t>
    </r>
  </si>
  <si>
    <r>
      <rPr>
        <b/>
        <color rgb="FF1F1F1F"/>
        <rFont val="Google Sans"/>
        <sz val="11"/>
      </rPr>
      <t xml:space="preserve">ServoL (笛卡尔透传)</t>
    </r>
    <r>
      <rPr>
        <color rgb="FF1F1F1F"/>
        <rFont val="Google Sans"/>
        <sz val="11"/>
      </rPr>
      <t xml:space="preserve">：支持高频率推送 TCP 目标位姿，实时完成逆运动学求解。</t>
    </r>
  </si>
  <si>
    <t>7.3 高级功能</t>
  </si>
  <si>
    <r>
      <rPr>
        <b/>
        <color rgb="FF1F1F1F"/>
        <rFont val="Google Sans"/>
        <sz val="11"/>
      </rPr>
      <t xml:space="preserve">阻抗控制</t>
    </r>
    <r>
      <rPr>
        <b/>
        <color rgb="FF1F1F1F"/>
        <rFont val="宋体"/>
        <sz val="11"/>
      </rPr>
      <t xml:space="preserve">（可选）</t>
    </r>
    <r>
      <rPr>
        <color rgb="FF1F1F1F"/>
        <rFont val="Google Sans"/>
        <sz val="11"/>
      </rPr>
      <t xml:space="preserve">：支持配置刚度和阻尼参数，用于柔顺交互。</t>
    </r>
  </si>
  <si>
    <r>
      <rPr>
        <b/>
        <color rgb="FF1F1F1F"/>
        <rFont val="Google Sans"/>
        <sz val="11"/>
      </rPr>
      <t xml:space="preserve">重力补偿</t>
    </r>
    <r>
      <rPr>
        <color rgb="FF1F1F1F"/>
        <rFont val="Google Sans"/>
        <sz val="11"/>
      </rPr>
      <t xml:space="preserve">：</t>
    </r>
    <r>
      <rPr>
        <color rgb="FF1F1F1F"/>
        <rFont val="宋体"/>
        <sz val="11"/>
      </rPr>
      <t xml:space="preserve">暂无</t>
    </r>
    <r>
      <rPr>
        <color rgb="FF1F1F1F"/>
        <rFont val="Google Sans"/>
        <sz val="11"/>
      </rPr>
      <t xml:space="preserve">。</t>
    </r>
  </si>
  <si>
    <r>
      <rPr>
        <b/>
        <color rgb="FF1F1F1F"/>
        <rFont val="Google Sans"/>
        <sz val="11"/>
      </rPr>
      <t xml:space="preserve">逆运动学求解</t>
    </r>
    <r>
      <rPr>
        <color rgb="FF1F1F1F"/>
        <rFont val="Google Sans"/>
        <sz val="11"/>
      </rPr>
      <t xml:space="preserve">：接口实现，能够通过输入末端位姿输出各个关节位置。</t>
    </r>
  </si>
  <si>
    <t>8. 环境要求与可靠性指标</t>
  </si>
  <si>
    <t>8.1 温湿度、气压与通用防护</t>
  </si>
  <si>
    <t>项目</t>
  </si>
  <si>
    <t>温度 -20~50摄氏度，湿度10%~80%RH</t>
  </si>
  <si>
    <t>允许凝露</t>
  </si>
  <si>
    <t>温度-40~65摄氏度，湿度10%~90%RH</t>
  </si>
  <si>
    <t>气压范围</t>
  </si>
  <si>
    <t>60~106kPa</t>
  </si>
  <si>
    <t>适用于工作/储存/运输</t>
  </si>
  <si>
    <t>本体防护等级</t>
  </si>
  <si>
    <t>支持室外降水与冷凝环境</t>
  </si>
  <si>
    <r>
      <rPr>
        <color rgb="FF1F1F1F"/>
        <rFont val="Google Sans"/>
        <sz val="11"/>
      </rPr>
      <t xml:space="preserve"> </t>
    </r>
    <r>
      <rPr>
        <color rgb="FF1F1F1F"/>
        <rFont val="Google Sans"/>
        <sz val="11"/>
      </rPr>
      <t xml:space="preserve">≤12W</t>
    </r>
  </si>
  <si>
    <t>8.2 抗干扰与电磁兼容性</t>
  </si>
  <si>
    <t>指标类别</t>
  </si>
  <si>
    <t>电源端口：≥2kV；信号端口：≥1kV</t>
  </si>
  <si>
    <t>接触放电：≥4kV；空气放电：≥8kV</t>
  </si>
  <si>
    <t>8.3 环境耐受性</t>
  </si>
  <si>
    <t>安置在室外，能承受降水（水、雪、雹）、冷凝及阳光直射。</t>
  </si>
  <si>
    <t>耐受灰尘、油烟、盐分、铁屑、腐蚀性液体与气体及电气干扰。</t>
  </si>
  <si>
    <t>8.4 振动允许范围 (依据 IEC 60721-3-3 3M11 等级)</t>
  </si>
  <si>
    <t>状态类别</t>
  </si>
  <si>
    <t>静态随机振动 (ASD)</t>
  </si>
  <si>
    <t>频率范围</t>
  </si>
  <si>
    <t>位移幅值</t>
  </si>
  <si>
    <t>工作状态</t>
  </si>
  <si>
    <t>0.01(m/s^2)^2/Hz</t>
  </si>
  <si>
    <t>5-200 Hz</t>
  </si>
  <si>
    <t>2-5Hz</t>
  </si>
  <si>
    <t>储存状态</t>
  </si>
  <si>
    <t>0.1(m/s^2)^2/Hz</t>
  </si>
  <si>
    <t>运输状态</t>
  </si>
  <si>
    <t>最大静载 5 kPa</t>
  </si>
  <si>
    <t>9. 安全与认证要求</t>
  </si>
  <si>
    <r>
      <rPr>
        <b/>
        <color rgb="FF1F1F1F"/>
        <rFont val="宋体"/>
        <sz val="11"/>
      </rPr>
      <t xml:space="preserve">功能安全</t>
    </r>
    <r>
      <rPr>
        <color rgb="FF1F1F1F"/>
        <rFont val="宋体"/>
        <sz val="11"/>
      </rPr>
      <t xml:space="preserve">：支持硬件双通道急停冗余，符合</t>
    </r>
    <r>
      <rPr>
        <color rgb="FF1F1F1F"/>
        <rFont val="Google Sans"/>
        <sz val="11"/>
      </rPr>
      <t xml:space="preserve"> ISO 13849-1:2023 PLd </t>
    </r>
    <r>
      <rPr>
        <color rgb="FF1F1F1F"/>
        <rFont val="宋体"/>
        <sz val="11"/>
      </rPr>
      <t xml:space="preserve">。</t>
    </r>
  </si>
  <si>
    <r>
      <rPr>
        <b/>
        <color rgb="FF1F1F1F"/>
        <rFont val="Google Sans"/>
        <sz val="11"/>
      </rPr>
      <t xml:space="preserve">协作安全</t>
    </r>
    <r>
      <rPr>
        <color rgb="FF1F1F1F"/>
        <rFont val="Google Sans"/>
        <sz val="11"/>
      </rPr>
      <t xml:space="preserve">：符合 ISO/TS 15066与GB 11291.1-2011。</t>
    </r>
  </si>
  <si>
    <r>
      <rPr>
        <b/>
        <color rgb="FF1F1F1F"/>
        <rFont val="Google Sans"/>
        <sz val="11"/>
      </rPr>
      <t xml:space="preserve">设计标准</t>
    </r>
    <r>
      <rPr>
        <color rgb="FF1F1F1F"/>
        <rFont val="Google Sans"/>
        <sz val="11"/>
      </rPr>
      <t xml:space="preserve">：符合 EN ISO 12100:2010，EN 60204-1:2018。</t>
    </r>
  </si>
  <si>
    <r>
      <rPr>
        <b/>
        <color rgb="FF1F1F1F"/>
        <rFont val="Google Sans"/>
        <sz val="11"/>
      </rPr>
      <t xml:space="preserve">电磁兼容</t>
    </r>
    <r>
      <rPr>
        <color rgb="FF1F1F1F"/>
        <rFont val="Google Sans"/>
        <sz val="11"/>
      </rPr>
      <t xml:space="preserve">：通过 EN IEC 61000-6-2/4 认证。</t>
    </r>
  </si>
  <si>
    <r>
      <rPr>
        <b/>
        <color rgb="FF1F1F1F"/>
        <rFont val="Google Sans"/>
        <sz val="11"/>
      </rPr>
      <t xml:space="preserve">认证</t>
    </r>
    <r>
      <rPr>
        <color rgb="FF1F1F1F"/>
        <rFont val="Google Sans"/>
        <sz val="11"/>
      </rPr>
      <t xml:space="preserve">：</t>
    </r>
    <r>
      <rPr>
        <color rgb="FF1F1F1F"/>
        <rFont val="宋体"/>
        <sz val="11"/>
      </rPr>
      <t xml:space="preserve">暂无 </t>
    </r>
    <r>
      <rPr>
        <color rgb="FF1F1F1F"/>
        <rFont val="Google Sans"/>
        <sz val="11"/>
      </rPr>
      <t xml:space="preserve">CE </t>
    </r>
    <r>
      <rPr>
        <color rgb="FF1F1F1F"/>
        <rFont val="宋体"/>
        <sz val="11"/>
      </rPr>
      <t xml:space="preserve">认证</t>
    </r>
    <r>
      <rPr>
        <color rgb="FF1F1F1F"/>
        <rFont val="Google Sans"/>
        <sz val="11"/>
      </rPr>
      <t xml:space="preserve">。</t>
    </r>
  </si>
  <si>
    <t>10. 验收标准与交付物</t>
  </si>
  <si>
    <t>10.1 核心测试项</t>
  </si>
  <si>
    <t>测试类别</t>
  </si>
  <si>
    <t>测试内容</t>
  </si>
  <si>
    <t>判定标准</t>
  </si>
  <si>
    <t>耐久性测试</t>
  </si>
  <si>
    <t>连续 72 小时满载运行</t>
  </si>
  <si>
    <t>无报错，关节温升在正常范围</t>
  </si>
  <si>
    <t>环境测试</t>
  </si>
  <si>
    <t>IP65 淋雨测试</t>
  </si>
  <si>
    <t>内部无积水，绝缘性能良好</t>
  </si>
  <si>
    <t>通信测试</t>
  </si>
  <si>
    <t>总线压力负载测试</t>
  </si>
  <si>
    <t>丢包率 ≤ 0.001% (满负载)</t>
  </si>
  <si>
    <t>末端轨迹偏移测试</t>
  </si>
  <si>
    <t>偏移量符合 ±0.03mm 规范</t>
  </si>
  <si>
    <t>10.2 交付件清单</t>
  </si>
  <si>
    <r>
      <rPr>
        <b/>
        <color rgb="FF1F1F1F"/>
        <rFont val="Google Sans"/>
        <sz val="11"/>
      </rPr>
      <t xml:space="preserve">硬件</t>
    </r>
    <r>
      <rPr>
        <color rgb="FF1F1F1F"/>
        <rFont val="Google Sans"/>
        <sz val="11"/>
      </rPr>
      <t xml:space="preserve">：一套包含机械臂本体 ×2 (左右臂)、控制柜 ×</t>
    </r>
    <r>
      <rPr>
        <color rgb="FF1F1F1F"/>
        <rFont val="Google Sans"/>
        <sz val="11"/>
      </rPr>
      <t xml:space="preserve">2</t>
    </r>
    <r>
      <rPr>
        <color rgb="FF1F1F1F"/>
        <rFont val="Google Sans"/>
        <sz val="11"/>
      </rPr>
      <t xml:space="preserve">、示教器 x1。</t>
    </r>
  </si>
  <si>
    <r>
      <rPr>
        <b/>
        <color rgb="FF1F1F1F"/>
        <rFont val="Google Sans"/>
        <sz val="11"/>
      </rPr>
      <t xml:space="preserve">文档</t>
    </r>
    <r>
      <rPr>
        <color rgb="FF1F1F1F"/>
        <rFont val="Google Sans"/>
        <sz val="11"/>
      </rPr>
      <t xml:space="preserve">：硬件手册、通讯协议文档、SDK 文档。</t>
    </r>
  </si>
  <si>
    <r>
      <rPr>
        <b/>
        <color rgb="FF1F1F1F"/>
        <rFont val="Google Sans"/>
        <sz val="11"/>
      </rPr>
      <t xml:space="preserve">软件</t>
    </r>
    <r>
      <rPr>
        <color rgb="FF1F1F1F"/>
        <rFont val="Google Sans"/>
        <sz val="11"/>
      </rPr>
      <t xml:space="preserve">：SDK (C++, Python)、URDF/SW 模型</t>
    </r>
  </si>
  <si>
    <r>
      <rPr>
        <b/>
        <color rgb="FF1F1F1F"/>
        <rFont val="Google Sans"/>
        <sz val="11"/>
      </rPr>
      <t xml:space="preserve">功能</t>
    </r>
    <r>
      <rPr>
        <color rgb="FF1F1F1F"/>
        <rFont val="Google Sans"/>
        <sz val="11"/>
      </rPr>
      <t xml:space="preserve">：双臂急停恢复、双臂标定</t>
    </r>
  </si>
  <si>
    <t>11. 备注：</t>
  </si>
  <si>
    <r>
      <rPr>
        <color rgb="FF1F1F1F"/>
        <rFont val="Wingdings"/>
        <sz val="11"/>
      </rPr>
      <t xml:space="preserve">l </t>
    </r>
    <r>
      <rPr>
        <color rgb="FF1F1F1F"/>
        <rFont val="宋体"/>
        <sz val="11"/>
      </rPr>
      <t xml:space="preserve">一个急停可以控制两台机械臂。</t>
    </r>
  </si>
  <si>
    <r>
      <rPr>
        <color rgb="FF1F1F1F"/>
        <rFont val="Wingdings"/>
        <sz val="11"/>
      </rPr>
      <t xml:space="preserve">l </t>
    </r>
    <r>
      <rPr>
        <color rgb="FF1F1F1F"/>
        <rFont val="宋体"/>
        <sz val="11"/>
      </rPr>
      <t xml:space="preserve">是否存在中空空间可以放置线缆或者气管。</t>
    </r>
  </si>
  <si>
    <t xml:space="preserve">HE3项目生产规划推进表 </t>
  </si>
  <si>
    <t>创建时间：20260508 更新时间：20260710</t>
  </si>
  <si>
    <t>日期</t>
  </si>
  <si>
    <t>责任部门</t>
  </si>
  <si>
    <t>计划完成时间</t>
  </si>
  <si>
    <t>实际完成时间</t>
  </si>
  <si>
    <t>进度说明</t>
  </si>
  <si>
    <t>阶段</t>
  </si>
  <si>
    <t>要素</t>
  </si>
  <si>
    <t>输出</t>
  </si>
  <si>
    <t>5月</t>
  </si>
  <si>
    <t>6月</t>
  </si>
  <si>
    <t>设计准备（与生产时间节前强相关部分）</t>
  </si>
  <si>
    <t>设计输出</t>
  </si>
  <si>
    <t>带料号的物料清单发布</t>
  </si>
  <si>
    <t></t>
  </si>
  <si>
    <t>SP研发</t>
  </si>
  <si>
    <t>BOM确定，并维护进SAP</t>
  </si>
  <si>
    <t>测试标准文件，测试方法，AUTOTEST等</t>
  </si>
  <si>
    <t>IDN指令无效，需要运控重新确认</t>
  </si>
  <si>
    <t>固件配置文件发布</t>
  </si>
  <si>
    <t>影响生产的关键设计问题闭环情况</t>
  </si>
  <si>
    <t>交付前issues已完成</t>
  </si>
  <si>
    <t>开模评估及回本测算</t>
  </si>
  <si>
    <t>SP研发
采购</t>
  </si>
  <si>
    <r>
      <rPr>
        <color rgb="FF7E7F7F"/>
        <rFont val="宋体"/>
        <sz val="11"/>
      </rPr>
      <t xml:space="preserve">1、今天收到采购模具报价，总费用 117.5 万，开模后单台机成本降低 3262 元，考虑到</t>
    </r>
    <r>
      <rPr>
        <color rgb="FF7E7F7F"/>
        <rFont val="Songti SC Regular"/>
        <sz val="11"/>
      </rPr>
      <t xml:space="preserve"> 60 </t>
    </r>
    <r>
      <rPr>
        <color rgb="FF7E7F7F"/>
        <rFont val="宋体"/>
        <sz val="11"/>
      </rPr>
      <t xml:space="preserve">台机的量开模的话，没有任何利润，且模具费用无法回本；
2、且</t>
    </r>
    <r>
      <rPr>
        <color rgb="FF7E7F7F"/>
        <rFont val="Songti SC Regular"/>
        <sz val="11"/>
      </rPr>
      <t xml:space="preserve"> HE3 </t>
    </r>
    <r>
      <rPr>
        <color rgb="FF7E7F7F"/>
        <rFont val="宋体"/>
        <sz val="11"/>
      </rPr>
      <t xml:space="preserve">还要进行工业设计，现在开模模具只能针对这</t>
    </r>
    <r>
      <rPr>
        <color rgb="FF7E7F7F"/>
        <rFont val="Songti SC Regular"/>
        <sz val="11"/>
      </rPr>
      <t xml:space="preserve"> 60 </t>
    </r>
    <r>
      <rPr>
        <color rgb="FF7E7F7F"/>
        <rFont val="宋体"/>
        <sz val="11"/>
      </rPr>
      <t xml:space="preserve">台使用，不划算
3、因此这 60 台机不考虑开模，以机加形式交付。</t>
    </r>
  </si>
  <si>
    <t>生产要素准备</t>
  </si>
  <si>
    <t>人</t>
  </si>
  <si>
    <t>人员需求到位</t>
  </si>
  <si>
    <t>制造中心</t>
  </si>
  <si>
    <t>按照下记试产需求，需要4名装配人员，其中2名装配电控柜，2名装配本体，1名测试人员，PIE 1名全程跟进指导</t>
  </si>
  <si>
    <t>人员岗前培训【培训方案】</t>
  </si>
  <si>
    <t>生产/工艺/品质</t>
  </si>
  <si>
    <t>1、本体部分：发福周一对接生产装配人员，以初版SOP培训；
2、电控柜部分：工艺完成首台样机，生产按样机对照装配；</t>
  </si>
  <si>
    <t>机</t>
  </si>
  <si>
    <t>生产工装，设备，工具需求清单</t>
  </si>
  <si>
    <t>工艺</t>
  </si>
  <si>
    <t>工装设计，工装图纸输出，下单采购</t>
  </si>
  <si>
    <t>1、机架和固定板已下单请购，预计6月2号前到；</t>
  </si>
  <si>
    <t>工装到位</t>
  </si>
  <si>
    <t>主要是考虑测试架，其他基本不需要</t>
  </si>
  <si>
    <t>料</t>
  </si>
  <si>
    <t>长周期物料下单采购</t>
  </si>
  <si>
    <t>采购</t>
  </si>
  <si>
    <t>模组、电气元件</t>
  </si>
  <si>
    <t>其他物料下单采购</t>
  </si>
  <si>
    <t>物料交付计划</t>
  </si>
  <si>
    <t>零部件外观基准</t>
  </si>
  <si>
    <t>品质</t>
  </si>
  <si>
    <t>由于目前无实物签样，已结合样件问题完成初步要求给到供应商，供应商预计10号完成，在发货前品质人员到供应商现场进行确认。</t>
  </si>
  <si>
    <t>成品外观基准</t>
  </si>
  <si>
    <t>已完成初版，待成品完成后完成</t>
  </si>
  <si>
    <t>法</t>
  </si>
  <si>
    <t>伟达力模组检验SIP</t>
  </si>
  <si>
    <t>品质/工艺</t>
  </si>
  <si>
    <t>X:\05制造中心-SP\02-SP 品质\04- 日常工作\12-NPI\NPI存档资料\HE3\5-模组测试规范</t>
  </si>
  <si>
    <t>制程检验标准</t>
  </si>
  <si>
    <t>X:\05制造中心-SP\02-SP 品质\04- 日常工作\12-NPI\NPI存档资料\HE3\2-HE3过程检验报告</t>
  </si>
  <si>
    <t>首件检验报告FAI【模板】</t>
  </si>
  <si>
    <t>X:\05制造中心-SP\02-SP 品质\04- 日常工作\12-NPI\NPI存档资料\HE3\3-样品认证</t>
  </si>
  <si>
    <t>出厂检验报告【模板】</t>
  </si>
  <si>
    <t>X:\05制造中心-SP\02-SP 品质\04- 日常工作\12-NPI\NPI存档资料\HE3\1-SP产品出厂检验报告</t>
  </si>
  <si>
    <t>工艺流程图【持续更新】</t>
  </si>
  <si>
    <t>生产流程卡设计【持续更新】</t>
  </si>
  <si>
    <t>更新生产跟单，链接“X:\05制造中心-SP\05-PIE制程\01 日常工作\02 产品文件\01 NPI文档\73 HE3\14.生产跟单记录表”</t>
  </si>
  <si>
    <t>产品铭牌以及外包装贴纸设计</t>
  </si>
  <si>
    <t>SP研发/工艺</t>
  </si>
  <si>
    <t>完成外箱与电控柜序列号零点标贴，还差研发提供铭牌模板。</t>
  </si>
  <si>
    <t>装配作业SOP【持续更新】</t>
  </si>
  <si>
    <t>产品装箱配件清单</t>
  </si>
  <si>
    <t>辅料清单</t>
  </si>
  <si>
    <t>工时测定</t>
  </si>
  <si>
    <t>测</t>
  </si>
  <si>
    <t>测试区规划，测试架搭建</t>
  </si>
  <si>
    <t>测试架、负载已下单采购
机架已回，明天安排安装到测试区</t>
  </si>
  <si>
    <t>试产</t>
  </si>
  <si>
    <t>产品装配</t>
  </si>
  <si>
    <t>工艺/生产</t>
  </si>
  <si>
    <t>LJC-260624》与研发协助最后3台调整到7月4或7月5开始装配。
合计15台，其中8台出货，7台研发样机</t>
  </si>
  <si>
    <t>产品测试</t>
  </si>
  <si>
    <t>产品包装，出货</t>
  </si>
  <si>
    <t>需要出货的包装，研发样机不包装</t>
  </si>
  <si>
    <t>阶段总结</t>
  </si>
  <si>
    <t>良福模具报价单</t>
  </si>
  <si>
    <t>NO.</t>
  </si>
  <si>
    <t>产品编号及名称</t>
  </si>
  <si>
    <t>总成本</t>
  </si>
  <si>
    <t>1-SP1014-25120803二轴外壳</t>
  </si>
  <si>
    <t>1-SP1014-25120807四轴外壳</t>
  </si>
  <si>
    <t>1-SP1014-25123001三轴大臂</t>
  </si>
  <si>
    <t>1-SP1014-25123004四轴小臂</t>
  </si>
  <si>
    <t>1-SP1014-25123002三轴大臂端盖</t>
  </si>
  <si>
    <t>1-SP1014-25123005四轴小臂端盖</t>
  </si>
  <si>
    <t>1-SP1233-26041501六轴外壳</t>
  </si>
  <si>
    <t>1-SP1014-25120808四轴外壳端盖</t>
  </si>
  <si>
    <t>1-SP1233-26041502六轴端盖</t>
  </si>
  <si>
    <t>1-SP1233-26041506五轴左端盖</t>
  </si>
  <si>
    <t>1-SP1233-26041505五轴右端盖</t>
  </si>
  <si>
    <t>1-SP1233-26041504五轴大臂</t>
  </si>
  <si>
    <t>1-SP1014-25123004二轴密封端盖</t>
  </si>
  <si>
    <t>1-SP1233-26041507五轴端盖</t>
  </si>
  <si>
    <t>产品图片</t>
  </si>
  <si>
    <t>/</t>
  </si>
  <si>
    <t>产品材料</t>
  </si>
  <si>
    <t>A380/ADC12</t>
  </si>
  <si>
    <t>模穴共用模胚，增加行位</t>
  </si>
  <si>
    <t>1*1</t>
  </si>
  <si>
    <t>1+1</t>
  </si>
  <si>
    <t>1+1+1+1</t>
  </si>
  <si>
    <t>模具费用</t>
  </si>
  <si>
    <t>模具材料</t>
  </si>
  <si>
    <t>产品单重加上面CNC余量g</t>
  </si>
  <si>
    <t>材料费用，加上加工余量</t>
  </si>
  <si>
    <t>压铸费用</t>
  </si>
  <si>
    <t>去毛刺打磨</t>
  </si>
  <si>
    <t>CNC加工钻孔攻牙</t>
  </si>
  <si>
    <t>铬化</t>
  </si>
  <si>
    <t>喷粉</t>
  </si>
  <si>
    <t>包装运输</t>
  </si>
  <si>
    <t>按照500PCS以上零件单价</t>
  </si>
  <si>
    <t>按照200PCS以上零件单价</t>
  </si>
  <si>
    <t>按照50PCS以上零件单价</t>
  </si>
  <si>
    <t>备注：</t>
  </si>
  <si>
    <t>1.以上报价含税，少于以上最少数量按照上机每套模具上机调试损耗费用人民币6000*8=48000元，目前材料价按照人民币25.5元加上损耗10%在市场浮动3%之上需重新调整。</t>
  </si>
  <si>
    <t>2.模具客供,产品单重是按图纸评估，届时按实际重计算,4套模具夹具费用另外收人民币8000*5=40000元</t>
  </si>
  <si>
    <t>HE3 本体 + 控制柜 + MT3 成本</t>
  </si>
  <si>
    <t>HE3 本体成本</t>
  </si>
  <si>
    <t>（基于常规模组，打样价格)</t>
  </si>
  <si>
    <t>名称</t>
  </si>
  <si>
    <t>规格</t>
  </si>
  <si>
    <t>单价
（未税）</t>
  </si>
  <si>
    <t>总价
（未税）</t>
  </si>
  <si>
    <t>关键零部件</t>
  </si>
  <si>
    <t>模组</t>
  </si>
  <si>
    <t>17模组（伟达立）</t>
  </si>
  <si>
    <t>100 套报价</t>
  </si>
  <si>
    <t>20模组（伟达立）</t>
  </si>
  <si>
    <t>14模组（伟达立）</t>
  </si>
  <si>
    <t>11模组（伟达立）</t>
  </si>
  <si>
    <t>合计</t>
  </si>
  <si>
    <t>本体机加件</t>
  </si>
  <si>
    <t>1-SP1014-25120801,充电机器人安装板</t>
  </si>
  <si>
    <t>10 套报价</t>
  </si>
  <si>
    <t>1-SP1014-25120802,一二轴连接法兰</t>
  </si>
  <si>
    <t>1-SP1014-25120803,二轴外壳</t>
  </si>
  <si>
    <t>1-SP1014-25120804,二轴密封端盖</t>
  </si>
  <si>
    <t>1-SP1014-25123001,三轴大臂</t>
  </si>
  <si>
    <t>1-SP1014-25123002,三轴大臂端盖</t>
  </si>
  <si>
    <t>1-SP1014-25123003,三轴大臂密封垫</t>
  </si>
  <si>
    <t>1-SP1014-25123004,四轴小臂</t>
  </si>
  <si>
    <t>1-SP1014-25123005,四周小臂端盖</t>
  </si>
  <si>
    <t>1-SP1014-25123006,四周小臂密封垫</t>
  </si>
  <si>
    <t>1-SP1014-25120807,四轴外壳</t>
  </si>
  <si>
    <t>1-SP1014-25120808,四轴外壳端盖</t>
  </si>
  <si>
    <t>1-SP1014-25120809,二轴端盖长螺柱</t>
  </si>
  <si>
    <t>1-SP1014-25120810,二轴端盖短螺柱</t>
  </si>
  <si>
    <t>1-SP1014-25120811,二轴绑线板</t>
  </si>
  <si>
    <t>1-SP1014-25120812,三轴绑线板</t>
  </si>
  <si>
    <t>1-SP1014-25120813,护线环</t>
  </si>
  <si>
    <t>1-SP1014-25120815,四轴端盖密封垫</t>
  </si>
  <si>
    <t>六轴外壳</t>
  </si>
  <si>
    <t>六轴端盖</t>
  </si>
  <si>
    <t>六轴端盖密封垫</t>
  </si>
  <si>
    <t>五轴大臂</t>
  </si>
  <si>
    <t>五轴右端盖</t>
  </si>
  <si>
    <t>五轴左端盖</t>
  </si>
  <si>
    <t>五轴端盖</t>
  </si>
  <si>
    <t>五轴左端盖密封垫</t>
  </si>
  <si>
    <t>拼接轴</t>
  </si>
  <si>
    <t>五轴过线环</t>
  </si>
  <si>
    <t>外径70x1.5</t>
  </si>
  <si>
    <t>外径50x1.5</t>
  </si>
  <si>
    <t>外径72x1.5</t>
  </si>
  <si>
    <t>外径80x1.5</t>
  </si>
  <si>
    <t>外径95x1.5</t>
  </si>
  <si>
    <t>外径60x1.5</t>
  </si>
  <si>
    <t>外径40x1.0</t>
  </si>
  <si>
    <t>外径30x1.0</t>
  </si>
  <si>
    <t>O型密封圈,外径44x1.0,丁腈橡胶</t>
  </si>
  <si>
    <t>O型密封圈,外径42x1.0,丁腈橡胶</t>
  </si>
  <si>
    <t>O型密封圈,外径78x1.5,丁腈橡胶</t>
  </si>
  <si>
    <t>O型密封圈,外径57x1.5,丁腈橡胶</t>
  </si>
  <si>
    <t>O型密封圈,外径52x1,丁腈橡胶</t>
  </si>
  <si>
    <t>油封,XUE01-d35-D55-C7,怡合达</t>
  </si>
  <si>
    <t>深沟球轴承,61807DD,NSK</t>
  </si>
  <si>
    <t>机加件总价</t>
  </si>
  <si>
    <t>螺钉等标准件</t>
  </si>
  <si>
    <t>安装螺钉</t>
  </si>
  <si>
    <t>包装箱</t>
  </si>
  <si>
    <t>电气线缆</t>
  </si>
  <si>
    <t>2-TH061S-98-83-00B,TH6本体内末端透传线</t>
  </si>
  <si>
    <t>2-TH061S-98-84-00B,CAN总线-J6</t>
  </si>
  <si>
    <t>2-TH061S-98-85-00B,CAN总线-J5</t>
  </si>
  <si>
    <t>2-TH061S-98-86-00B,CAN总线-J4</t>
  </si>
  <si>
    <t>2-TH061S-98-87-00B,CAN总线-J3</t>
  </si>
  <si>
    <t>2-TH061S-98-88-00B,CAN总线-J2</t>
  </si>
  <si>
    <t>2-TH061S-98-89-00B,以太网连接线-J6</t>
  </si>
  <si>
    <t>2-TH061S-98-90-00B,以太网连接线-J5</t>
  </si>
  <si>
    <t>2-TH061S-98-91-00B,以太网连接线-J4</t>
  </si>
  <si>
    <t>2-TH061S-98-92-00B,以太网连接线-J3</t>
  </si>
  <si>
    <t>2-TH061S-98-93-00B,以太网连接线-J2</t>
  </si>
  <si>
    <t>2-TH061S-98-94-00B,本体通讯输入线</t>
  </si>
  <si>
    <t>2-TH061S-98-95-00B,DC48V电源线J6</t>
  </si>
  <si>
    <t>2-TH061S-98-96-00B,DC48V电源线J5</t>
  </si>
  <si>
    <t>2-TH061S-98-97-00B,DC48V电源线J4</t>
  </si>
  <si>
    <t>2-TH061S-98-98-00B,本体输入电源线</t>
  </si>
  <si>
    <t>D-SUB针座,DB25针座-双排-焊线式</t>
  </si>
  <si>
    <t>D-SUB针座,DB62针座-三排-焊线式</t>
  </si>
  <si>
    <t>1-RD000P-03-97-99,电缆_MCP</t>
  </si>
  <si>
    <t>1-RD000P-07-40-97,MS6MT弯头末端透传线</t>
  </si>
  <si>
    <t>1-RD000P-07-52-00,MS6MT电源线_4m</t>
  </si>
  <si>
    <t>1-RD000P-07-53-00,MS6MT通讯线_4m</t>
  </si>
  <si>
    <t>生产、制造成本</t>
  </si>
  <si>
    <t>人工作业成本</t>
  </si>
  <si>
    <t>制造费用成本</t>
  </si>
  <si>
    <t>间接材料成本</t>
  </si>
  <si>
    <t>控制柜成本</t>
  </si>
  <si>
    <t>Comm-E Core V1.2 ICT合格PCBA（外购用）</t>
  </si>
  <si>
    <t>Comm-E Interfase V1.1 ICT合格PCBA（外购用）</t>
  </si>
  <si>
    <t>Pallas-03-01-01-B,Comm-E底板成品B</t>
  </si>
  <si>
    <t>组合螺钉,M3x6,圆头十字螺钉带弹片垫圈304不锈钢</t>
  </si>
  <si>
    <t>六角铜柱,M3x14mm</t>
  </si>
  <si>
    <t>16G工业级TF卡,SanDisk,SDSDQAF3-016G-1</t>
  </si>
  <si>
    <t>MAC地址B4-A2-EB-00-00-00~B4-A2-EB-0F-FF-FF</t>
  </si>
  <si>
    <t>纽扣电池,cr2032,3V</t>
  </si>
  <si>
    <t>Pallas-IO_V1.2 PCBA(外购）</t>
  </si>
  <si>
    <t>空气开关,NXB-63-2P-C16,正泰</t>
  </si>
  <si>
    <t>接地端子排,JDG-D-5,航同</t>
  </si>
  <si>
    <t>接线端子,DP4N-TR,町洋</t>
  </si>
  <si>
    <t>以太网航空插座,RJ45F04S</t>
  </si>
  <si>
    <t>终端固定器,SS2,町洋</t>
  </si>
  <si>
    <t>终端盖,DP4C-TR,町洋</t>
  </si>
  <si>
    <t>超六类网线,LQ01-DWG-25005 ,330±10</t>
  </si>
  <si>
    <t>单面护线圈,开孔直径30mm</t>
  </si>
  <si>
    <t>警告圈,S10-A-1640,怡合达</t>
  </si>
  <si>
    <t>滤波器,EMC-A2-010-SN,宝隆</t>
  </si>
  <si>
    <t>浪涌雷击抑制器,EMC-S1-100-XX,宝隆100A/10KA</t>
  </si>
  <si>
    <t>开关电源,PDF-500L-24II(配4个安装支架),新星</t>
  </si>
  <si>
    <t>开关电源,明纬,RSP-3000-48</t>
  </si>
  <si>
    <t>过滤器组件,MPFG-80,树脂,米思米</t>
  </si>
  <si>
    <t>风扇网罩,80x80,普通碳钢</t>
  </si>
  <si>
    <t>Pallas-01-01-05-A,Pallas连接件</t>
  </si>
  <si>
    <t>橡胶脚垫,垫圈型,NHY05-30,怡合达</t>
  </si>
  <si>
    <t>六角螺母,M4,GB/T6170-2000,不锈钢</t>
  </si>
  <si>
    <t>六角螺母,M3,普通碳钢,镀锌</t>
  </si>
  <si>
    <t>内六角平圆头螺钉,M3x6,不锈钢304</t>
  </si>
  <si>
    <t>内六角沉头螺钉,M3x6_10.9级_达克罗</t>
  </si>
  <si>
    <t>内六角圆柱头螺钉,M4x35,GB/T70.1-2000,达克罗,12.9级,</t>
  </si>
  <si>
    <t>内六角平圆头螺钉,M3x8,304不锈钢</t>
  </si>
  <si>
    <t>内六角圆柱头螺钉,M4x8,GB/T,70.1-2000,达克罗,12.9级</t>
  </si>
  <si>
    <t>内六角圆柱头螺钉,M4x10,GB/T 70.1-2000,达克罗,12.9级</t>
  </si>
  <si>
    <t>内六角圆柱头螺钉,M4x14,GB/T,70.1-2000,达克罗12.9级</t>
  </si>
  <si>
    <t>组合螺钉,M4x8,十字螺钉连带弹片垫圈</t>
  </si>
  <si>
    <t>英制螺柱,#4-40_5+5_304不锈钢</t>
  </si>
  <si>
    <t>单头六角柱,M3x10+6,碳钢镀镍</t>
  </si>
  <si>
    <t>外齿锁紧垫圈,4x0.5_304不锈钢,</t>
  </si>
  <si>
    <t>扎带固定座,STm-1,尼龙,101</t>
  </si>
  <si>
    <t>内六角圆柱头螺钉,M5x10,12.9级,达克罗</t>
  </si>
  <si>
    <t>导轨,TH35</t>
  </si>
  <si>
    <t>残余电压防护标识,标识尺寸35x20mm</t>
  </si>
  <si>
    <t>三角高压警示标识,ELE-K006,等边25,进口(PP)环保合成纸</t>
  </si>
  <si>
    <t>非专业人士勿打开标识,长85x宽55mm,3M贴纸</t>
  </si>
  <si>
    <t>1-MS061T-01-01-01,电控柜箱体</t>
  </si>
  <si>
    <t>1-MS061T-01-01-04,电气钣金</t>
  </si>
  <si>
    <t>1-MS061T-01-01-05,线缆支架</t>
  </si>
  <si>
    <t>1-MS061T-01-01-07,电控柜盖子</t>
  </si>
  <si>
    <t>1-MS061T-01-01-08,电源钣金</t>
  </si>
  <si>
    <t>1-MS061T-01-01-09,连接钣金1</t>
  </si>
  <si>
    <t>1-MS061T-97-92-00,IO板_DC24V输入电源线</t>
  </si>
  <si>
    <t>1-MS061T-97-94-00,Safety IO短接改制</t>
  </si>
  <si>
    <t>1-MS061T-97-95-00,Safety IO改制</t>
  </si>
  <si>
    <t>1-MS061T-97-96-00,启动按钮改制</t>
  </si>
  <si>
    <t>1-MS061T-97-97-00,排风风扇改制</t>
  </si>
  <si>
    <t>1-MS061T-97-98-00,进风风扇改制</t>
  </si>
  <si>
    <t>1-MS061T-97-99-00,泄放电阻改制</t>
  </si>
  <si>
    <t>1-MS061T-98-77-00,电控柜透传电源_DC24V电源线</t>
  </si>
  <si>
    <t>1-MS061T-98-78-00,24V开关电源接地线</t>
  </si>
  <si>
    <t>1-MS061T-98-79-00,48V开关电源接地线</t>
  </si>
  <si>
    <t>1-MS061T-98-80-00,浪涌雷击抑制器接地线</t>
  </si>
  <si>
    <t>1-MS061T-98-81-00,滤波器接地线</t>
  </si>
  <si>
    <t>1-MS061T-98-82-00,面板IO总线</t>
  </si>
  <si>
    <t>1-MS061T-98-83-00,COMM_DIO2线</t>
  </si>
  <si>
    <t>1-MS061T-98-84-00,COMM_DIO1线</t>
  </si>
  <si>
    <t>1-MS061T-98-85-00,E-STOP线</t>
  </si>
  <si>
    <t>1-MS061T-98-86-00,继电器模块使能控制线</t>
  </si>
  <si>
    <t>1-MS061T-98-87-00,本体通讯线</t>
  </si>
  <si>
    <t>1-MS061T-98-88-00,Pallas_+24V电源线</t>
  </si>
  <si>
    <t>1-MS061T-98-89-00,继电器模块DC48V输出电源线</t>
  </si>
  <si>
    <t>1-MS061T-98-90-00,继电器模块DC48V输入电源线</t>
  </si>
  <si>
    <t>1-MS061T-98-91-00,24V开关电源_DC24V输出电源线</t>
  </si>
  <si>
    <t>1-MS061T-98-92-00,24V开关电源_AC220V输入电源线</t>
  </si>
  <si>
    <t>1-MS061T-98-93-00,48V开关电源_AC220V输入电源线</t>
  </si>
  <si>
    <t>1-MS061T-98-94-00,滤波器_AC220V输出电源线</t>
  </si>
  <si>
    <t>1-MS061T-98-95-00,滤波器_AC220V输入电源线</t>
  </si>
  <si>
    <t>1-MS061T-98-96-00,浪涌雷击抑制器_AC220V输入电源线</t>
  </si>
  <si>
    <t>1-MS061T-98-97-00,空气开关_AC220V输出电源线</t>
  </si>
  <si>
    <t>1-MS061T-98-98-00,AC LED线</t>
  </si>
  <si>
    <t>1-MS061T-98-99-00,POWER电源线</t>
  </si>
  <si>
    <t>1-TR601S-01-01-04,电源开关钣金</t>
  </si>
  <si>
    <t>PCBA,SO-Thor-Relay PCBA-V1.5</t>
  </si>
  <si>
    <t>接地标识,EA-K007直径15mm,进口PP环保合成纸,艾瑞达</t>
  </si>
  <si>
    <t>MT3 成本</t>
  </si>
  <si>
    <t>示教器,HTY-S535-1C3-1-2,华途</t>
  </si>
  <si>
    <t>机器人产品合格证,104x140mm,300G,铜版纸印刷</t>
  </si>
  <si>
    <t>HE3 本体 + 控制柜 + MT3 总成本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</si>
</sst>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quot;¥-&quot;#,##0.00"/>
    <numFmt numFmtId="165" formatCode="\¥#,##0.00;\¥\-#,##0.00"/>
    <numFmt numFmtId="166" formatCode="#,##0.00_ "/>
    <numFmt numFmtId="167" formatCode="&quot;￥&quot;#,##0.00_);[Red]\(&quot;￥&quot;#,##0.00\)"/>
    <numFmt numFmtId="168" formatCode="\¥#,##0.00;[Red]\¥\-#,##0.00"/>
    <numFmt numFmtId="169" formatCode="yyyy/m/d;@"/>
    <numFmt numFmtId="170" formatCode="0.0_);[Red]\(0.0\)"/>
    <numFmt numFmtId="171" formatCode="0_);[Red]\(0\)"/>
  </numFmts>
  <fonts count="16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9"/>
      <color rgb="FF000000"/>
      <name val="宋体"/>
    </font>
    <font>
      <b/>
      <sz val="9"/>
      <color rgb="FF000000"/>
      <name val="宋体"/>
    </font>
    <font>
      <sz val="11"/>
      <color rgb="FF000000"/>
      <name val="等线"/>
    </font>
    <font>
      <sz val="10"/>
      <color rgb="FF000000"/>
      <name val="Arial"/>
    </font>
    <font>
      <b/>
      <sz val="11"/>
      <color rgb="FF000000"/>
      <name val="等线"/>
    </font>
    <font>
      <sz val="12"/>
      <color rgb="FF000000"/>
      <name val="等线"/>
    </font>
    <font>
      <b/>
      <sz val="14"/>
      <color rgb="FF000000"/>
      <name val="宋体"/>
    </font>
    <font>
      <sz val="11"/>
      <color rgb="FF000000"/>
      <name val="Wingdings 2"/>
    </font>
    <font>
      <sz val="11"/>
      <color rgb="FF000000"/>
      <name val="微软雅黑"/>
    </font>
    <font>
      <sz val="11"/>
      <color rgb="FF000000"/>
      <name val="宋体"/>
    </font>
    <font>
      <b/>
      <sz val="24"/>
      <color rgb="FF1F1F1F"/>
      <name val="Google Sans"/>
    </font>
    <font>
      <b/>
      <sz val="18"/>
      <color rgb="FF1F1F1F"/>
      <name val="Google Sans"/>
    </font>
    <font>
      <b/>
      <sz val="11"/>
      <color rgb="FF1F1F1F"/>
      <name val="Google Sans"/>
    </font>
    <font>
      <sz val="11"/>
      <color rgb="FF1F1F1F"/>
      <name val="Google Sans"/>
    </font>
    <font>
      <sz val="11"/>
      <color rgb="FF000000"/>
      <name val="Arial"/>
    </font>
    <font>
      <b/>
      <sz val="14"/>
      <color rgb="FF1F1F1F"/>
      <name val="Google Sans"/>
    </font>
    <font>
      <b/>
      <sz val="11"/>
      <color rgb="FF000000"/>
      <name val="Google Sans"/>
    </font>
    <font>
      <sz val="11"/>
      <color rgb="FF000000"/>
      <name val="Google Sans"/>
    </font>
    <font>
      <b/>
      <sz val="12"/>
      <color rgb="FF000000"/>
      <name val="Noto Sans SC"/>
    </font>
    <font>
      <sz val="12"/>
      <color rgb="FF000000"/>
      <name val="Noto Sans SC"/>
    </font>
    <font>
      <b/>
      <sz val="11"/>
      <color rgb="FF1F1F1F"/>
      <name val="宋体"/>
    </font>
    <font>
      <sz val="11"/>
      <color rgb="FF1F1F1F"/>
      <name val="Wingdings"/>
    </font>
    <font>
      <sz val="10"/>
      <color rgb="FF000000"/>
      <name val="等线"/>
    </font>
    <font>
      <sz val="10"/>
      <color rgb="FF7E7F7F"/>
      <name val="等线"/>
    </font>
    <font>
      <sz val="12"/>
      <color rgb="FF7F7F7F"/>
      <name val="等线"/>
    </font>
    <font>
      <sz val="12"/>
      <color rgb="FF000000"/>
      <name val="Songti SC Regular"/>
    </font>
    <font>
      <sz val="11"/>
      <color rgb="FF000000"/>
      <name val="Songti SC Regular"/>
    </font>
    <font>
      <b/>
      <sz val="11"/>
      <color rgb="FF000000"/>
      <name val="Helvetica Neue"/>
    </font>
    <font>
      <b/>
      <sz val="11"/>
      <color rgb="FF000000"/>
      <name val="Songti SC Regular"/>
    </font>
    <font>
      <b/>
      <sz val="11"/>
      <color rgb="FF7E7F7F"/>
      <name val="Helvetica Neue"/>
    </font>
    <font>
      <sz val="11"/>
      <color rgb="FF7E7F7F"/>
      <name val="Songti SC Regular"/>
    </font>
    <font>
      <sz val="10"/>
      <color rgb="FF000000"/>
      <name val="Songti SC Regular"/>
    </font>
    <font>
      <b/>
      <sz val="11"/>
      <color rgb="FF7F7F7F"/>
      <name val="Helvetica Neue"/>
    </font>
    <font>
      <sz val="10"/>
      <color rgb="FF7F7F7F"/>
      <name val="Songti SC Regular"/>
    </font>
    <font>
      <sz val="11"/>
      <color rgb="FF7F7F7F"/>
      <name val="Songti SC Regular"/>
    </font>
    <font>
      <b/>
      <sz val="11"/>
      <color rgb="FFFF0000"/>
      <name val="Songti SC Regular"/>
    </font>
    <font>
      <sz val="10"/>
      <color rgb="FF7F7F7F"/>
      <name val="等线"/>
    </font>
    <font>
      <sz val="11"/>
      <color rgb="FF7E7F7F"/>
      <name val="等线"/>
    </font>
    <font>
      <sz val="10"/>
      <color rgb="FFA4A5A5"/>
      <name val="等线"/>
    </font>
    <font>
      <sz val="11"/>
      <color rgb="FF000000"/>
      <name val="Helvetica Neue"/>
    </font>
    <font>
      <b/>
      <sz val="12"/>
      <color rgb="FF000000"/>
      <name val="等线"/>
    </font>
    <font>
      <sz val="11"/>
      <color rgb="FF7F7F7F"/>
      <name val="等线"/>
    </font>
    <font>
      <b/>
      <sz val="12"/>
      <color rgb="FF7F7F7F"/>
      <name val="等线"/>
    </font>
    <font>
      <sz val="12"/>
      <color rgb="FF7E7F7F"/>
      <name val="等线"/>
    </font>
    <font>
      <sz val="11"/>
      <color rgb="FFA4A5A5"/>
      <name val="等线"/>
    </font>
    <font>
      <b/>
      <sz val="11"/>
      <color rgb="FFFF0000"/>
      <name val="Songti SC Bold"/>
    </font>
    <font>
      <sz val="10"/>
      <color rgb="FF000000"/>
      <name val="Helvetica Neue"/>
    </font>
    <font>
      <b/>
      <sz val="11"/>
      <color rgb="FF1F1F1F"/>
      <name val="Songti SC Regular"/>
    </font>
    <font>
      <b/>
      <sz val="12"/>
      <color rgb="FF000000"/>
      <name val="Songti SC Regular"/>
    </font>
    <font>
      <sz val="12"/>
      <color rgb="FF000000"/>
      <name val="宋体"/>
    </font>
    <font>
      <sz val="10"/>
      <color rgb="FF7E7F7F"/>
      <name val="Songti SC Regular"/>
    </font>
    <font>
      <sz val="11"/>
      <color rgb="FF7E7F7F"/>
      <name val="Wingdings 2"/>
    </font>
    <font>
      <sz val="11"/>
      <color rgb="FF7E7F7F"/>
      <name val="微软雅黑"/>
    </font>
    <font>
      <sz val="11"/>
      <color rgb="FF7E7F7F"/>
      <name val="宋体"/>
    </font>
    <font>
      <sz val="10"/>
      <color rgb="FF000000"/>
      <name val="宋体"/>
    </font>
    <font>
      <sz val="11"/>
      <color rgb="FFA4A5A5"/>
      <name val="Wingdings 2"/>
    </font>
    <font>
      <sz val="12"/>
      <color rgb="FFA4A5A5"/>
      <name val="等线"/>
    </font>
    <font>
      <sz val="11"/>
      <color rgb="FFA4A5A5"/>
      <name val="微软雅黑"/>
    </font>
    <font>
      <b/>
      <sz val="11"/>
      <color rgb="FF000000"/>
      <name val="宋体"/>
    </font>
    <font>
      <sz val="11"/>
      <color rgb="FF7F7F7F"/>
      <name val="Wingdings 2"/>
    </font>
    <font>
      <sz val="11"/>
      <color rgb="FF7F7F7F"/>
      <name val="微软雅黑"/>
    </font>
    <font>
      <sz val="11"/>
      <color rgb="FF000000"/>
      <name val="微软雅黑, sans-serif"/>
    </font>
    <font>
      <sz val="14"/>
      <color rgb="FF000000"/>
      <name val="Arial"/>
    </font>
    <font>
      <sz val="14"/>
      <color rgb="FF000000"/>
      <name val="宋体"/>
    </font>
    <font>
      <sz val="11"/>
      <color rgb="FF7F7F7F"/>
      <name val="Arial"/>
    </font>
    <font>
      <sz val="11"/>
      <color rgb="FFBFBFBF"/>
      <name val="Arial"/>
    </font>
    <font>
      <sz val="11"/>
      <color rgb="FF000000"/>
      <name val="SimSun"/>
    </font>
    <font>
      <sz val="11"/>
      <color rgb="FFA4A5A5"/>
      <name val="SimSun"/>
    </font>
    <font>
      <sz val="12"/>
      <color rgb="FF000000"/>
      <name val="Arial"/>
    </font>
    <font>
      <sz val="11"/>
      <color rgb="FF7F7F7F"/>
      <name val="宋体"/>
    </font>
    <font>
      <b/>
      <sz val="11"/>
      <color rgb="FF000000"/>
      <name val="Arial"/>
    </font>
    <font>
      <sz val="14"/>
      <color rgb="FF7F7F7F"/>
      <name val="Arial"/>
    </font>
    <font>
      <b/>
      <sz val="11"/>
      <color rgb="FF7F7F7F"/>
      <name val="宋体"/>
    </font>
    <font>
      <sz val="11"/>
      <color rgb="FF7E7F7F"/>
      <name val="Arial"/>
    </font>
    <font>
      <sz val="14"/>
      <color rgb="FF7E7F7F"/>
      <name val="Arial"/>
    </font>
    <font>
      <b/>
      <sz val="11"/>
      <color rgb="FF7E7F7F"/>
      <name val="宋体"/>
    </font>
    <font>
      <b/>
      <sz val="11"/>
      <color rgb="FF7F7F7F"/>
      <name val="Arial"/>
    </font>
    <font>
      <b/>
      <sz val="11"/>
      <color rgb="FFBFBFBF"/>
      <name val="宋体"/>
    </font>
    <font>
      <b/>
      <sz val="11"/>
      <color rgb="FFBFBFBF"/>
      <name val="Arial"/>
    </font>
    <font>
      <sz val="11"/>
      <color rgb="FFBFBFBF"/>
      <name val="宋体"/>
    </font>
    <font>
      <sz val="11"/>
      <color rgb="FFA4A5A5"/>
      <name val="Arial"/>
    </font>
    <font>
      <sz val="11"/>
      <color rgb="FFA4A5A5"/>
      <name val="宋体"/>
    </font>
    <font>
      <sz val="11"/>
      <color rgb="FF7E7F7F"/>
      <name val="SimSun"/>
    </font>
    <font>
      <sz val="11"/>
      <color rgb="FF808080"/>
      <name val="Arial"/>
    </font>
    <font>
      <sz val="11"/>
      <color rgb="FF808080"/>
      <name val="宋体"/>
    </font>
    <font>
      <b/>
      <sz val="11"/>
      <color rgb="FF7E7F7F"/>
      <name val="Arial"/>
    </font>
    <font>
      <sz val="11"/>
      <color rgb="FF7E7F7F"/>
      <name val="Arial Bold"/>
    </font>
    <font>
      <sz val="11"/>
      <color rgb="FF000000"/>
      <name val="Arial, sans-serif"/>
    </font>
    <font>
      <sz val="11"/>
      <color rgb="FF7F7F7F"/>
      <name val="Arial, sans-serif"/>
    </font>
    <font>
      <strike/>
      <sz val="11"/>
      <color rgb="FF000000"/>
      <name val="Songti SC Regular"/>
    </font>
    <font>
      <b/>
      <sz val="20"/>
      <color rgb="FF000000"/>
      <name val="宋体"/>
    </font>
    <font>
      <b/>
      <sz val="20"/>
      <color rgb="FF000000"/>
      <name val="Songti SC Regular"/>
    </font>
    <font>
      <sz val="11"/>
      <color rgb="FFFF0000"/>
      <name val="等线"/>
    </font>
    <font>
      <b/>
      <sz val="36"/>
      <color rgb="FF000000"/>
      <name val="等线"/>
    </font>
    <font>
      <b/>
      <sz val="24"/>
      <color rgb="FF000000"/>
      <name val="宋体"/>
    </font>
    <font>
      <b/>
      <sz val="12"/>
      <color rgb="FF000000"/>
      <name val="宋体"/>
    </font>
    <font>
      <sz val="10"/>
      <color rgb="FF7E7F7F"/>
    </font>
    <font>
      <sz val="11"/>
      <color rgb="FF000000"/>
      <name val="SimHei"/>
    </font>
    <font>
      <b/>
      <sz val="12"/>
      <color rgb="FF7E7F7F"/>
      <name val="等线"/>
    </font>
    <font>
      <sz val="10"/>
    </font>
    <font>
      <sz val="11"/>
      <color rgb="FF000000"/>
      <name val="Songti SC Regular"/>
    </font>
    <font>
      <sz val="11"/>
      <color rgb="FF000000"/>
      <name val="Songti SC Regular"/>
    </font>
    <font>
      <b/>
      <sz val="12"/>
      <color rgb="FF000000"/>
      <name val="等线"/>
    </font>
    <font>
      <sz val="10"/>
      <color rgb="FF7F7F7F"/>
      <name val="等线"/>
    </font>
    <font>
      <sz val="10"/>
      <color rgb="FF7F7F7F"/>
      <name val="等线"/>
    </font>
    <font>
      <sz val="10"/>
      <color rgb="FF7F7F7F"/>
      <name val="等线"/>
    </font>
    <font>
      <sz val="10"/>
      <color rgb="FF7F7F7F"/>
      <name val="等线"/>
    </font>
    <font>
      <sz val="10"/>
      <color rgb="FF7E7F7F"/>
      <name val="等线"/>
    </font>
    <font>
      <sz val="10"/>
      <color rgb="FF000000"/>
      <name val="等线"/>
    </font>
    <font>
      <sz val="11"/>
      <color rgb="FF7E7F7F"/>
      <name val="等线"/>
    </font>
    <font>
      <sz val="10"/>
      <color rgb="FF7E7F7F"/>
      <name val="等线"/>
    </font>
    <font>
      <sz val="10"/>
      <color rgb="FF7F7F7F"/>
      <name val="等线"/>
    </font>
    <font>
      <sz val="10"/>
      <color rgb="FF000000"/>
      <name val="等线"/>
    </font>
    <font>
      <sz val="10"/>
      <color rgb="FF000000"/>
      <name val="等线"/>
    </font>
    <font>
      <sz val="10"/>
      <color rgb="FFA4A5A5"/>
      <name val="等线"/>
    </font>
    <font>
      <sz val="10"/>
      <color rgb="FF7E7F7F"/>
      <name val="等线"/>
    </font>
    <font>
      <sz val="10"/>
      <color rgb="FF7E7F7F"/>
      <name val="等线"/>
    </font>
    <font>
      <sz val="10"/>
      <color rgb="FF7E7F7F"/>
      <name val="等线"/>
    </font>
    <font>
      <sz val="10"/>
      <color rgb="FF7E7F7F"/>
      <name val="等线"/>
    </font>
    <font>
      <sz val="10"/>
      <color rgb="FF7F7F7F"/>
      <name val="等线"/>
    </font>
    <font>
      <sz val="11"/>
      <color rgb="FF7E7F7F"/>
      <name val="等线"/>
    </font>
    <font>
      <sz val="11"/>
      <color rgb="FF7E7F7F"/>
      <name val="Songti SC Regular"/>
    </font>
    <font>
      <sz val="11"/>
      <color rgb="FF000000"/>
      <name val="Songti SC Regular"/>
    </font>
    <font>
      <sz val="11"/>
      <color rgb="FF000000"/>
      <name val="Songti SC Regular"/>
    </font>
    <font>
      <sz val="11"/>
      <color rgb="FF000000"/>
      <name val="宋体"/>
    </font>
    <font>
      <sz val="11"/>
      <color rgb="FF808080"/>
      <name val="Arial"/>
    </font>
    <font>
      <sz val="11"/>
      <color rgb="FF7E7F7F"/>
      <name val="Arial"/>
    </font>
    <font>
      <sz val="11"/>
      <color rgb="FF7E7F7F"/>
      <name val="Arial"/>
    </font>
    <font>
      <sz val="11"/>
      <color rgb="FF7E7F7F"/>
      <name val="Arial"/>
    </font>
    <font>
      <sz val="11"/>
      <color rgb="FF7E7F7F"/>
      <name val="SimSun"/>
    </font>
    <font>
      <sz val="11"/>
      <color rgb="FFBFBFBF"/>
      <name val="Arial"/>
    </font>
    <font>
      <sz val="11"/>
      <color rgb="FFBFBFBF"/>
      <name val="Arial"/>
    </font>
    <font>
      <sz val="11"/>
      <color rgb="FFBFBFBF"/>
      <name val="Arial"/>
    </font>
    <font>
      <sz val="11"/>
      <color rgb="FFBFBFBF"/>
      <name val="Arial"/>
    </font>
    <font>
      <sz val="11"/>
      <color rgb="FFBFBFBF"/>
      <name val="Arial"/>
    </font>
    <font>
      <sz val="11"/>
      <color rgb="FF7E7F7F"/>
      <name val="Arial"/>
    </font>
    <font>
      <sz val="11"/>
      <color rgb="FF7E7F7F"/>
      <name val="Arial"/>
    </font>
    <font>
      <sz val="11"/>
      <color rgb="FF7E7F7F"/>
      <name val="Arial"/>
    </font>
    <font>
      <sz val="11"/>
      <color rgb="FF7E7F7F"/>
      <name val="Arial"/>
    </font>
    <font>
      <sz val="11"/>
      <color rgb="FF7E7F7F"/>
      <name val="Arial"/>
    </font>
    <font>
      <sz val="11"/>
      <color rgb="FF000000"/>
      <name val="Arial"/>
    </font>
    <font>
      <sz val="11"/>
      <color rgb="FF000000"/>
      <name val="宋体"/>
    </font>
    <font>
      <sz val="11"/>
      <color rgb="FF7F7F7F"/>
      <name val="Arial"/>
    </font>
    <font>
      <sz val="11"/>
      <color rgb="FF000000"/>
      <name val="Arial"/>
    </font>
    <font>
      <sz val="11"/>
      <color rgb="FF000000"/>
      <name val="Arial"/>
    </font>
    <font>
      <sz val="11"/>
      <color rgb="FF7E7F7F"/>
      <name val="等线"/>
    </font>
    <font>
      <sz val="11"/>
      <color rgb="FF7E7F7F"/>
      <name val="等线"/>
    </font>
    <font>
      <sz val="11"/>
      <color rgb="FF7E7F7F"/>
      <name val="等线"/>
    </font>
    <font>
      <sz val="11"/>
      <color rgb="FFA4A5A5"/>
      <name val="等线"/>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s>
  <fills count="14">
    <fill>
      <patternFill patternType="none"/>
    </fill>
    <fill>
      <patternFill patternType="gray125"/>
    </fill>
    <fill>
      <patternFill patternType="solid">
        <fgColor rgb="FFFFFFFF"/>
      </patternFill>
    </fill>
    <fill>
      <patternFill patternType="solid">
        <fgColor rgb="FFBFBFBF"/>
      </patternFill>
    </fill>
    <fill>
      <patternFill patternType="solid">
        <fgColor rgb="FFD8D8D8"/>
      </patternFill>
    </fill>
    <fill>
      <patternFill patternType="solid">
        <fgColor rgb="FF9CC2E5"/>
      </patternFill>
    </fill>
    <fill>
      <patternFill patternType="solid">
        <fgColor rgb="FF70AD48"/>
      </patternFill>
    </fill>
    <fill>
      <patternFill patternType="solid">
        <fgColor rgb="FFFFFF00"/>
      </patternFill>
    </fill>
    <fill>
      <patternFill patternType="solid">
        <fgColor rgb="FFA5A5A5"/>
      </patternFill>
    </fill>
    <fill>
      <patternFill patternType="solid">
        <fgColor rgb="FFFFC000"/>
      </patternFill>
    </fill>
    <fill>
      <patternFill patternType="solid">
        <fgColor rgb="FF00B0F0"/>
      </patternFill>
    </fill>
    <fill>
      <patternFill patternType="solid">
        <fgColor rgb="FF04B0F1"/>
      </patternFill>
    </fill>
    <fill>
      <patternFill patternType="solid">
        <fgColor rgb="FFFCC102"/>
      </patternFill>
    </fill>
    <fill>
      <patternFill patternType="solid">
        <fgColor rgb="FFFBE4D5"/>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style="dashed">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top style="thin">
        <color rgb="FFA7A7A7"/>
      </top>
      <bottom style="thin">
        <color rgb="FFA7A7A7"/>
      </bottom>
      <diagonal/>
    </border>
    <border>
      <left/>
      <right/>
      <top style="thin">
        <color rgb="FFA7A7A7"/>
      </top>
      <bottom style="thin">
        <color rgb="FFA7A7A7"/>
      </bottom>
      <diagonal/>
    </border>
    <border>
      <left/>
      <right style="thin">
        <color rgb="FFA7A7A7"/>
      </right>
      <top style="thin">
        <color rgb="FFA7A7A7"/>
      </top>
      <bottom style="thin">
        <color rgb="FFA7A7A7"/>
      </bottom>
      <diagonal/>
    </border>
    <border>
      <left style="thin">
        <color rgb="FFA7A7A7"/>
      </left>
      <right style="thin">
        <color rgb="FFA7A7A7"/>
      </right>
      <top style="thin">
        <color rgb="FFA7A7A7"/>
      </top>
      <bottom style="thin">
        <color rgb="FFA7A7A7"/>
      </bottom>
      <diagonal/>
    </border>
    <border>
      <left style="thin">
        <color rgb="FFA7A7A7"/>
      </left>
      <right/>
      <top style="thin">
        <color rgb="FFA7A7A7"/>
      </top>
      <bottom style="thin">
        <color rgb="FFA7A7A7"/>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bottom style="medium">
        <color rgb="FF000000"/>
      </bottom>
      <diagonal/>
    </border>
    <border>
      <left style="thin">
        <color rgb="FF000000"/>
      </left>
      <right style="dashed">
        <color rgb="FF000000"/>
      </right>
      <top style="thin">
        <color rgb="FF000000"/>
      </top>
      <bottom/>
      <diagonal/>
    </border>
    <border>
      <left style="thin">
        <color rgb="FF000000"/>
      </left>
      <right style="dashed">
        <color rgb="FF000000"/>
      </right>
      <top/>
      <bottom/>
      <diagonal/>
    </border>
    <border>
      <left style="thin">
        <color rgb="FF000000"/>
      </left>
      <right style="dashed">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8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left" vertical="center"/>
    </xf>
    <xf numFmtId="49" fontId="4" fillId="2" borderId="2" xfId="0" applyNumberFormat="1" applyFont="1" applyFill="1" applyBorder="1" applyProtection="1">
      <alignment horizontal="general" vertical="center"/>
    </xf>
    <xf numFmtId="164" fontId="4" fillId="2" borderId="1" xfId="0" applyNumberFormat="1" applyFont="1" applyFill="1" applyBorder="1" applyProtection="1">
      <alignment horizontal="right" vertical="center"/>
    </xf>
    <xf numFmtId="0" fontId="4" fillId="2" borderId="1" xfId="0" applyFont="1" applyFill="1" applyBorder="1" applyProtection="1">
      <alignment horizontal="center" vertical="center"/>
    </xf>
    <xf numFmtId="164" fontId="4" fillId="2" borderId="3" xfId="0" applyNumberFormat="1" applyFont="1" applyFill="1" applyBorder="1" applyProtection="1">
      <alignment horizontal="right" vertical="center"/>
    </xf>
    <xf numFmtId="164" fontId="5" fillId="2" borderId="1" xfId="0" applyNumberFormat="1" applyFont="1" applyFill="1" applyBorder="1" applyProtection="1">
      <alignment horizontal="general" vertical="center" wrapText="1"/>
    </xf>
    <xf numFmtId="49" fontId="4" fillId="3" borderId="2" xfId="0" applyNumberFormat="1" applyFont="1" applyFill="1" applyBorder="1" applyProtection="1">
      <alignment horizontal="lef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general" vertical="center" wrapText="1"/>
    </xf>
    <xf numFmtId="0" fontId="6" fillId="0" borderId="2" xfId="0" applyFont="1" applyBorder="1" applyProtection="1">
      <alignment horizontal="center" vertical="center"/>
    </xf>
    <xf numFmtId="0" fontId="7" fillId="0" borderId="4" xfId="0" applyFont="1" applyBorder="1" applyProtection="1">
      <alignment horizontal="left" vertical="center"/>
    </xf>
    <xf numFmtId="0" fontId="7" fillId="0" borderId="5" xfId="0" applyFont="1" applyBorder="1" applyProtection="1">
      <alignment horizontal="left" vertical="center"/>
    </xf>
    <xf numFmtId="0" fontId="6" fillId="0" borderId="6" xfId="0" applyFont="1" applyBorder="1" applyProtection="1">
      <alignment horizontal="center" vertical="center"/>
    </xf>
    <xf numFmtId="49" fontId="4" fillId="2" borderId="2" xfId="0" applyNumberFormat="1" applyFont="1" applyFill="1" applyBorder="1" applyProtection="1">
      <alignment horizontal="general" vertical="center" wrapText="1"/>
    </xf>
    <xf numFmtId="164" fontId="4" fillId="2" borderId="2" xfId="0" applyNumberFormat="1" applyFont="1" applyFill="1" applyBorder="1" applyProtection="1">
      <alignment horizontal="right" vertical="center"/>
    </xf>
    <xf numFmtId="0" fontId="4" fillId="2" borderId="2" xfId="0" applyFont="1" applyFill="1" applyBorder="1" applyProtection="1">
      <alignment horizontal="center" vertical="center"/>
    </xf>
    <xf numFmtId="49" fontId="4" fillId="2" borderId="7" xfId="0" applyNumberFormat="1" applyFont="1" applyFill="1" applyBorder="1" applyProtection="1">
      <alignment horizontal="general" vertical="center" wrapText="1"/>
    </xf>
    <xf numFmtId="164" fontId="4" fillId="2" borderId="6" xfId="0" applyNumberFormat="1" applyFont="1" applyFill="1" applyBorder="1" applyProtection="1">
      <alignment horizontal="right" vertical="center"/>
    </xf>
    <xf numFmtId="0" fontId="4" fillId="2" borderId="6" xfId="0" applyFont="1" applyFill="1" applyBorder="1" applyProtection="1">
      <alignment horizontal="center" vertical="center"/>
    </xf>
    <xf numFmtId="164" fontId="4" fillId="2" borderId="8" xfId="0" applyNumberFormat="1" applyFont="1" applyFill="1" applyBorder="1" applyProtection="1">
      <alignment horizontal="right" vertical="center"/>
    </xf>
    <xf numFmtId="49" fontId="4" fillId="2" borderId="1" xfId="0" applyNumberFormat="1" applyFont="1" applyFill="1" applyBorder="1" applyProtection="1">
      <alignment horizontal="left" vertical="center" wrapText="1"/>
    </xf>
    <xf numFmtId="49" fontId="4" fillId="3" borderId="9" xfId="0" applyNumberFormat="1" applyFont="1" applyFill="1" applyBorder="1" applyProtection="1">
      <alignment horizontal="left" vertical="center"/>
    </xf>
    <xf numFmtId="49" fontId="4" fillId="3" borderId="9" xfId="0" applyNumberFormat="1" applyFont="1" applyFill="1" applyBorder="1" applyProtection="1">
      <alignment horizontal="center" vertical="center"/>
    </xf>
    <xf numFmtId="49" fontId="4" fillId="3" borderId="10" xfId="0" applyNumberFormat="1" applyFont="1" applyFill="1" applyBorder="1" applyProtection="1">
      <alignment horizontal="center" vertical="center"/>
    </xf>
    <xf numFmtId="164" fontId="4" fillId="2" borderId="1" xfId="0" applyNumberFormat="1" applyFont="1" applyFill="1" applyBorder="1" applyProtection="1">
      <alignment horizontal="left" vertical="center"/>
    </xf>
    <xf numFmtId="0" fontId="6" fillId="0" borderId="1" xfId="0" applyFont="1" applyBorder="1" applyProtection="1">
      <alignment horizontal="general" vertical="bottom"/>
    </xf>
    <xf numFmtId="165" fontId="8" fillId="0" borderId="1" xfId="0" applyNumberFormat="1" applyFont="1" applyBorder="1" applyProtection="1">
      <alignment horizontal="general" vertical="bottom"/>
    </xf>
    <xf numFmtId="166" fontId="6" fillId="0" borderId="1" xfId="0" applyNumberFormat="1" applyFont="1" applyBorder="1" applyProtection="1">
      <alignment horizontal="general" vertical="bottom"/>
    </xf>
    <xf numFmtId="0" fontId="6" fillId="0" borderId="1" xfId="0" applyFont="1" applyBorder="1" applyProtection="1">
      <alignment horizontal="center" vertical="bottom"/>
    </xf>
    <xf numFmtId="0" fontId="9" fillId="4" borderId="0" xfId="0" applyFont="1" applyFill="1">
      <alignment horizontal="general" vertical="center"/>
    </xf>
    <xf numFmtId="0" fontId="6" fillId="4" borderId="0" xfId="0" applyFont="1" applyFill="1">
      <alignment horizontal="general" vertical="bottom"/>
    </xf>
    <xf numFmtId="49" fontId="4" fillId="4" borderId="2" xfId="0" applyNumberFormat="1" applyFont="1" applyFill="1" applyBorder="1" applyProtection="1">
      <alignment horizontal="center" vertical="center" wrapText="1"/>
    </xf>
    <xf numFmtId="0" fontId="7" fillId="4" borderId="4" xfId="0" applyFont="1" applyFill="1" applyBorder="1" applyProtection="1">
      <alignment horizontal="left" vertical="center"/>
    </xf>
    <xf numFmtId="0" fontId="7" fillId="4" borderId="5" xfId="0" applyFont="1" applyFill="1" applyBorder="1" applyProtection="1">
      <alignment horizontal="left" vertical="center"/>
    </xf>
    <xf numFmtId="49" fontId="4" fillId="4" borderId="1" xfId="0" applyNumberFormat="1" applyFont="1" applyFill="1" applyBorder="1" applyProtection="1">
      <alignment horizontal="general" vertical="center" wrapText="1"/>
    </xf>
    <xf numFmtId="164" fontId="4" fillId="4" borderId="1" xfId="0" applyNumberFormat="1" applyFont="1" applyFill="1" applyBorder="1" applyProtection="1">
      <alignment horizontal="right" vertical="center"/>
    </xf>
    <xf numFmtId="0" fontId="4" fillId="4" borderId="1" xfId="0" applyFont="1" applyFill="1" applyBorder="1" applyProtection="1">
      <alignment horizontal="center" vertical="center"/>
    </xf>
    <xf numFmtId="164" fontId="4" fillId="4" borderId="3" xfId="0" applyNumberFormat="1" applyFont="1" applyFill="1" applyBorder="1" applyProtection="1">
      <alignment horizontal="right" vertical="center"/>
    </xf>
    <xf numFmtId="0" fontId="6" fillId="4" borderId="6" xfId="0" applyFont="1" applyFill="1" applyBorder="1" applyProtection="1">
      <alignment horizontal="center" vertical="center"/>
    </xf>
    <xf numFmtId="0" fontId="6" fillId="0" borderId="2" xfId="0" applyFont="1" applyBorder="1" applyProtection="1">
      <alignment horizontal="general" vertical="bottom"/>
    </xf>
    <xf numFmtId="164" fontId="5" fillId="2" borderId="3" xfId="0" applyNumberFormat="1" applyFont="1" applyFill="1" applyBorder="1" applyProtection="1">
      <alignment horizontal="right" vertical="center"/>
    </xf>
    <xf numFmtId="49" fontId="4" fillId="2" borderId="11" xfId="0" applyNumberFormat="1" applyFont="1" applyFill="1" applyBorder="1" applyProtection="1">
      <alignment horizontal="center" vertical="center" wrapText="1"/>
    </xf>
    <xf numFmtId="164" fontId="10" fillId="2" borderId="3" xfId="0" applyNumberFormat="1" applyFont="1" applyFill="1" applyBorder="1" applyProtection="1">
      <alignment horizontal="right" vertical="center"/>
    </xf>
    <xf numFmtId="0" fontId="6" fillId="4" borderId="1" xfId="0" applyFont="1" applyFill="1" applyBorder="1" applyProtection="1">
      <alignment horizontal="center" vertical="bottom"/>
    </xf>
    <xf numFmtId="0" fontId="6" fillId="4" borderId="1" xfId="0" applyFont="1" applyFill="1" applyBorder="1" applyProtection="1">
      <alignment horizontal="center" vertical="center"/>
    </xf>
    <xf numFmtId="0" fontId="6" fillId="0" borderId="1" xfId="0" applyFont="1" applyBorder="1" applyProtection="1">
      <alignment horizontal="center" vertical="center" wrapText="1"/>
    </xf>
    <xf numFmtId="167" fontId="6" fillId="4" borderId="1" xfId="0" applyNumberFormat="1" applyFont="1" applyFill="1" applyBorder="1" applyProtection="1">
      <alignment horizontal="center" vertical="center"/>
    </xf>
    <xf numFmtId="168" fontId="6" fillId="0" borderId="1" xfId="0" applyNumberFormat="1" applyFont="1" applyBorder="1" applyProtection="1">
      <alignment horizontal="center" vertical="center"/>
    </xf>
    <xf numFmtId="0" fontId="6" fillId="0" borderId="1" xfId="0" applyFont="1" applyBorder="1" applyProtection="1">
      <alignment horizontal="left" vertical="bottom"/>
    </xf>
    <xf numFmtId="0" fontId="6" fillId="0" borderId="0" xfId="0" applyFont="1">
      <alignment horizontal="center" vertical="center"/>
    </xf>
    <xf numFmtId="14" fontId="9" fillId="0" borderId="0" xfId="0" applyNumberFormat="1" applyFont="1">
      <alignment horizontal="general" vertical="center"/>
    </xf>
    <xf numFmtId="0" fontId="9" fillId="0" borderId="0" xfId="0" applyFont="1">
      <alignment horizontal="general" vertical="center" wrapText="1"/>
    </xf>
    <xf numFmtId="0" fontId="8" fillId="2" borderId="1" xfId="0" applyFont="1" applyFill="1" applyBorder="1" applyProtection="1">
      <alignment horizontal="center" vertical="center" wrapText="1"/>
    </xf>
    <xf numFmtId="0" fontId="8" fillId="5" borderId="1" xfId="0" applyFont="1" applyFill="1" applyBorder="1" applyProtection="1">
      <alignment horizontal="center" vertical="center" wrapText="1"/>
    </xf>
    <xf numFmtId="0" fontId="8" fillId="6" borderId="1" xfId="0" applyFont="1" applyFill="1" applyBorder="1" applyProtection="1">
      <alignment horizontal="center" vertical="center" wrapText="1"/>
    </xf>
    <xf numFmtId="0" fontId="8" fillId="0" borderId="1" xfId="0" applyFont="1" applyBorder="1" applyProtection="1">
      <alignment horizontal="center" vertical="center" wrapText="1"/>
    </xf>
    <xf numFmtId="0" fontId="6" fillId="2" borderId="1" xfId="0" applyFont="1" applyFill="1" applyBorder="1" applyProtection="1">
      <alignment horizontal="center" vertical="center" wrapText="1"/>
    </xf>
    <xf numFmtId="0" fontId="6" fillId="5" borderId="1" xfId="0" applyFont="1" applyFill="1" applyBorder="1" applyProtection="1">
      <alignment horizontal="center" vertical="center" wrapText="1"/>
    </xf>
    <xf numFmtId="14" fontId="6" fillId="2" borderId="10" xfId="0" applyNumberFormat="1" applyFont="1" applyFill="1" applyBorder="1" applyProtection="1">
      <alignment horizontal="center" vertical="center" wrapText="1"/>
    </xf>
    <xf numFmtId="0" fontId="6" fillId="2" borderId="12" xfId="0" applyFont="1" applyFill="1" applyBorder="1" applyProtection="1">
      <alignment horizontal="general" vertical="center" wrapText="1"/>
    </xf>
    <xf numFmtId="0" fontId="6" fillId="2" borderId="1" xfId="0" applyFont="1" applyFill="1" applyBorder="1" applyProtection="1">
      <alignment horizontal="left" vertical="center" wrapText="1"/>
    </xf>
    <xf numFmtId="0" fontId="11" fillId="5" borderId="1" xfId="0" applyFont="1" applyFill="1" applyBorder="1" applyProtection="1">
      <alignment horizontal="center" vertical="center" wrapText="1"/>
    </xf>
    <xf numFmtId="0" fontId="11" fillId="0" borderId="1" xfId="0" applyFont="1" applyBorder="1" applyProtection="1">
      <alignment horizontal="center" vertical="center" wrapText="1"/>
    </xf>
    <xf numFmtId="9" fontId="12" fillId="2" borderId="3" xfId="0" applyNumberFormat="1" applyFont="1" applyFill="1" applyBorder="1" applyProtection="1">
      <alignment horizontal="center" vertical="center" wrapText="1"/>
    </xf>
    <xf numFmtId="0" fontId="6" fillId="2" borderId="3" xfId="0" applyFont="1" applyFill="1" applyBorder="1" applyProtection="1">
      <alignment horizontal="center" vertical="center" wrapText="1"/>
    </xf>
    <xf numFmtId="0" fontId="6" fillId="2" borderId="2" xfId="0" applyFont="1" applyFill="1" applyBorder="1" applyProtection="1">
      <alignment horizontal="center" vertical="center" wrapText="1"/>
    </xf>
    <xf numFmtId="0" fontId="13" fillId="0" borderId="1" xfId="0" applyFont="1" applyBorder="1" applyProtection="1">
      <alignment horizontal="left" vertical="center" wrapText="1"/>
    </xf>
    <xf numFmtId="0" fontId="6" fillId="0" borderId="13" xfId="0" applyFont="1" applyBorder="1" applyProtection="1">
      <alignment horizontal="general" vertical="center" wrapText="1"/>
    </xf>
    <xf numFmtId="0" fontId="8" fillId="2" borderId="14" xfId="0" applyFont="1" applyFill="1" applyBorder="1" applyProtection="1">
      <alignment horizontal="center" vertical="center" wrapText="1"/>
    </xf>
    <xf numFmtId="0" fontId="8" fillId="5" borderId="15" xfId="0" applyFont="1" applyFill="1" applyBorder="1" applyProtection="1">
      <alignment horizontal="center" vertical="center" wrapText="1"/>
    </xf>
    <xf numFmtId="0" fontId="8" fillId="5" borderId="14" xfId="0" applyFont="1" applyFill="1" applyBorder="1" applyProtection="1">
      <alignment horizontal="center" vertical="center" wrapText="1"/>
    </xf>
    <xf numFmtId="0" fontId="6" fillId="2" borderId="11" xfId="0" applyFont="1" applyFill="1" applyBorder="1" applyProtection="1">
      <alignment horizontal="general" vertical="center"/>
    </xf>
    <xf numFmtId="0" fontId="6" fillId="2" borderId="1" xfId="0" applyFont="1" applyFill="1" applyBorder="1" applyProtection="1">
      <alignment horizontal="general" vertical="center"/>
    </xf>
    <xf numFmtId="0" fontId="6" fillId="5" borderId="1" xfId="0" applyFont="1" applyFill="1" applyBorder="1" applyProtection="1">
      <alignment horizontal="general" vertical="center"/>
    </xf>
    <xf numFmtId="0" fontId="8" fillId="0" borderId="1" xfId="0" applyFont="1" applyBorder="1" applyProtection="1">
      <alignment horizontal="general" vertical="center"/>
    </xf>
    <xf numFmtId="0" fontId="8" fillId="2" borderId="1" xfId="0" applyFont="1" applyFill="1" applyBorder="1" applyProtection="1">
      <alignment horizontal="general" vertical="center"/>
    </xf>
    <xf numFmtId="0" fontId="8" fillId="0" borderId="1" xfId="0" applyFont="1" applyBorder="1" applyProtection="1">
      <alignment horizontal="center" vertical="center"/>
    </xf>
    <xf numFmtId="0" fontId="8" fillId="5" borderId="1" xfId="0" applyFont="1" applyFill="1" applyBorder="1" applyProtection="1">
      <alignment horizontal="general" vertical="center"/>
    </xf>
    <xf numFmtId="0" fontId="6" fillId="2" borderId="16" xfId="0" applyFont="1" applyFill="1" applyBorder="1" applyProtection="1">
      <alignment horizontal="general" vertical="center"/>
    </xf>
    <xf numFmtId="0" fontId="6" fillId="5" borderId="17" xfId="0" applyFont="1" applyFill="1" applyBorder="1" applyProtection="1">
      <alignment horizontal="general" vertical="center"/>
    </xf>
    <xf numFmtId="0" fontId="6" fillId="2" borderId="17" xfId="0" applyFont="1" applyFill="1" applyBorder="1" applyProtection="1">
      <alignment horizontal="general" vertical="center"/>
    </xf>
    <xf numFmtId="0" fontId="6" fillId="0" borderId="17" xfId="0" applyFont="1" applyBorder="1" applyProtection="1">
      <alignment horizontal="general" vertical="center"/>
    </xf>
    <xf numFmtId="0" fontId="14" fillId="0" borderId="0" xfId="0" applyFont="1">
      <alignment horizontal="general" vertical="center"/>
    </xf>
    <xf numFmtId="0" fontId="15" fillId="0" borderId="0" xfId="0" applyFont="1">
      <alignment horizontal="general" vertical="center"/>
    </xf>
    <xf numFmtId="0" fontId="16" fillId="0" borderId="0" xfId="0" applyFont="1">
      <alignment horizontal="general" vertical="center"/>
    </xf>
    <xf numFmtId="0" fontId="17" fillId="0" borderId="0" xfId="0" applyFont="1">
      <alignment horizontal="general" vertical="center"/>
    </xf>
    <xf numFmtId="0" fontId="18" fillId="0" borderId="0" xfId="0" applyFont="1">
      <alignment horizontal="general" vertical="center"/>
    </xf>
    <xf numFmtId="0" fontId="19" fillId="0" borderId="0" xfId="0" applyFont="1">
      <alignment horizontal="general" vertical="center"/>
    </xf>
    <xf numFmtId="0" fontId="16" fillId="2" borderId="18" xfId="0" applyFont="1" applyFill="1" applyBorder="1" applyProtection="1">
      <alignment horizontal="general" vertical="top" wrapText="1"/>
    </xf>
    <xf numFmtId="0" fontId="16" fillId="2" borderId="19" xfId="0" applyFont="1" applyFill="1" applyBorder="1" applyProtection="1">
      <alignment horizontal="general" vertical="top" wrapText="1"/>
    </xf>
    <xf numFmtId="0" fontId="17" fillId="2" borderId="20" xfId="0" applyFont="1" applyFill="1" applyBorder="1" applyProtection="1">
      <alignment horizontal="general" vertical="top" wrapText="1"/>
    </xf>
    <xf numFmtId="0" fontId="17" fillId="2" borderId="21" xfId="0" applyFont="1" applyFill="1" applyBorder="1" applyProtection="1">
      <alignment horizontal="general" vertical="top" wrapText="1"/>
    </xf>
    <xf numFmtId="0" fontId="20" fillId="2" borderId="19" xfId="0" applyFont="1" applyFill="1" applyBorder="1" applyProtection="1">
      <alignment horizontal="general" vertical="top" wrapText="1"/>
    </xf>
    <xf numFmtId="0" fontId="21" fillId="2" borderId="21" xfId="0" applyFont="1" applyFill="1" applyBorder="1" applyProtection="1">
      <alignment horizontal="general" vertical="top" wrapText="1"/>
    </xf>
    <xf numFmtId="0" fontId="13" fillId="2" borderId="21" xfId="0" applyFont="1" applyFill="1" applyBorder="1" applyProtection="1">
      <alignment horizontal="general" vertical="top" wrapText="1"/>
    </xf>
    <xf numFmtId="0" fontId="16" fillId="2" borderId="20" xfId="0" applyFont="1" applyFill="1" applyBorder="1" applyProtection="1">
      <alignment horizontal="general" vertical="top" wrapText="1"/>
    </xf>
    <xf numFmtId="0" fontId="16" fillId="0" borderId="18" xfId="0" applyFont="1" applyBorder="1" applyProtection="1">
      <alignment horizontal="center" vertical="center" wrapText="1"/>
    </xf>
    <xf numFmtId="0" fontId="22" fillId="0" borderId="19" xfId="0" applyFont="1" applyBorder="1" applyProtection="1">
      <alignment horizontal="center" vertical="center" wrapText="1"/>
    </xf>
    <xf numFmtId="0" fontId="23" fillId="0" borderId="20" xfId="0" applyFont="1" applyBorder="1" applyProtection="1">
      <alignment horizontal="general" vertical="center" wrapText="1"/>
    </xf>
    <xf numFmtId="0" fontId="23" fillId="0" borderId="21" xfId="0" applyFont="1" applyBorder="1" applyProtection="1">
      <alignment horizontal="general" vertical="center" wrapText="1"/>
    </xf>
    <xf numFmtId="0" fontId="24" fillId="0" borderId="0" xfId="0" applyFont="1">
      <alignment horizontal="general" vertical="center"/>
    </xf>
    <xf numFmtId="0" fontId="25" fillId="0" borderId="0" xfId="0" applyFont="1">
      <alignment horizontal="general" vertical="center"/>
    </xf>
    <xf numFmtId="0" fontId="13" fillId="0" borderId="2" xfId="0" applyFont="1" applyBorder="1" applyProtection="1">
      <alignment horizontal="center" vertical="center" wrapText="1"/>
    </xf>
    <xf numFmtId="0" fontId="26" fillId="0" borderId="1" xfId="0" applyFont="1" applyBorder="1" applyProtection="1">
      <alignment horizontal="general" vertical="center"/>
    </xf>
    <xf numFmtId="0" fontId="27" fillId="0" borderId="0" xfId="0" applyFont="1">
      <alignment horizontal="general" vertical="center"/>
    </xf>
    <xf numFmtId="0" fontId="6" fillId="2" borderId="0" xfId="0" applyFont="1" applyFill="1">
      <alignment horizontal="general" vertical="bottom"/>
    </xf>
    <xf numFmtId="0" fontId="28" fillId="0" borderId="0" xfId="0" applyFont="1">
      <alignment horizontal="general" vertical="center"/>
    </xf>
    <xf numFmtId="0" fontId="29" fillId="0" borderId="0" xfId="0" applyFont="1">
      <alignment horizontal="general" vertical="center"/>
    </xf>
    <xf numFmtId="0" fontId="30" fillId="0" borderId="0" xfId="0" applyFont="1">
      <alignment horizontal="general" vertical="bottom"/>
    </xf>
    <xf numFmtId="0" fontId="31" fillId="4" borderId="1" xfId="0" applyFont="1" applyFill="1" applyBorder="1" applyProtection="1">
      <alignment horizontal="center" vertical="center" wrapText="1"/>
    </xf>
    <xf numFmtId="169" fontId="32" fillId="4" borderId="1" xfId="0" applyNumberFormat="1" applyFont="1" applyFill="1" applyBorder="1" applyProtection="1">
      <alignment horizontal="center" vertical="center" wrapText="1"/>
    </xf>
    <xf numFmtId="0" fontId="32" fillId="4" borderId="1" xfId="0" applyFont="1" applyFill="1" applyBorder="1" applyProtection="1">
      <alignment horizontal="center" vertical="center" wrapText="1"/>
    </xf>
    <xf numFmtId="169" fontId="30" fillId="0" borderId="2" xfId="0" applyNumberFormat="1" applyFont="1" applyBorder="1" applyProtection="1">
      <alignment horizontal="center" vertical="center" wrapText="1"/>
    </xf>
    <xf numFmtId="58" fontId="30" fillId="0" borderId="2" xfId="0" applyNumberFormat="1" applyFont="1" applyBorder="1" applyProtection="1">
      <alignment horizontal="center" vertical="center" wrapText="1"/>
    </xf>
    <xf numFmtId="0" fontId="30" fillId="0" borderId="2" xfId="0" applyFont="1" applyBorder="1" applyProtection="1">
      <alignment horizontal="left" vertical="top" wrapText="1"/>
    </xf>
    <xf numFmtId="0" fontId="30" fillId="0" borderId="1" xfId="0" applyFont="1" applyBorder="1" applyProtection="1">
      <alignment horizontal="left" vertical="center" wrapText="1"/>
    </xf>
    <xf numFmtId="0" fontId="33" fillId="4" borderId="2" xfId="0" applyFont="1" applyFill="1" applyBorder="1" applyProtection="1">
      <alignment horizontal="center" vertical="center" wrapText="1"/>
    </xf>
    <xf numFmtId="169" fontId="34" fillId="0" borderId="2" xfId="0" applyNumberFormat="1" applyFont="1" applyBorder="1" applyProtection="1">
      <alignment horizontal="center" vertical="center" wrapText="1"/>
    </xf>
    <xf numFmtId="58" fontId="34" fillId="0" borderId="2" xfId="0" applyNumberFormat="1" applyFont="1" applyBorder="1" applyProtection="1">
      <alignment horizontal="center" vertical="center" wrapText="1"/>
    </xf>
    <xf numFmtId="58" fontId="34" fillId="7" borderId="2" xfId="0" applyNumberFormat="1" applyFont="1" applyFill="1" applyBorder="1" applyProtection="1">
      <alignment horizontal="left" vertical="center" wrapText="1"/>
    </xf>
    <xf numFmtId="58" fontId="34" fillId="0" borderId="2" xfId="0" applyNumberFormat="1" applyFont="1" applyBorder="1" applyProtection="1">
      <alignment horizontal="left" vertical="center" wrapText="1"/>
    </xf>
    <xf numFmtId="0" fontId="31" fillId="4" borderId="2" xfId="0" applyFont="1" applyFill="1" applyBorder="1" applyProtection="1">
      <alignment horizontal="center" vertical="center" wrapText="1"/>
    </xf>
    <xf numFmtId="58" fontId="30" fillId="7" borderId="2" xfId="0" applyNumberFormat="1" applyFont="1" applyFill="1" applyBorder="1" applyProtection="1">
      <alignment horizontal="left" vertical="center" wrapText="1"/>
    </xf>
    <xf numFmtId="58" fontId="30" fillId="0" borderId="2" xfId="0" applyNumberFormat="1" applyFont="1" applyBorder="1" applyProtection="1">
      <alignment horizontal="left" vertical="center" wrapText="1"/>
    </xf>
    <xf numFmtId="169" fontId="35" fillId="0" borderId="2" xfId="0" applyNumberFormat="1" applyFont="1" applyBorder="1" applyProtection="1">
      <alignment horizontal="center" vertical="center" wrapText="1"/>
    </xf>
    <xf numFmtId="58" fontId="30" fillId="0" borderId="1" xfId="0" applyNumberFormat="1" applyFont="1" applyBorder="1" applyProtection="1">
      <alignment horizontal="left" vertical="center" wrapText="1"/>
    </xf>
    <xf numFmtId="169" fontId="35" fillId="2" borderId="2" xfId="0" applyNumberFormat="1" applyFont="1" applyFill="1" applyBorder="1" applyProtection="1">
      <alignment horizontal="center" vertical="center" wrapText="1"/>
    </xf>
    <xf numFmtId="58" fontId="30" fillId="2" borderId="2" xfId="0" applyNumberFormat="1" applyFont="1" applyFill="1" applyBorder="1" applyProtection="1">
      <alignment horizontal="center" vertical="center" wrapText="1"/>
    </xf>
    <xf numFmtId="0" fontId="30" fillId="2" borderId="2" xfId="0" applyFont="1" applyFill="1" applyBorder="1" applyProtection="1">
      <alignment horizontal="left" vertical="center" wrapText="1"/>
    </xf>
    <xf numFmtId="0" fontId="36" fillId="4" borderId="2" xfId="0" applyFont="1" applyFill="1" applyBorder="1" applyProtection="1">
      <alignment horizontal="center" vertical="center" wrapText="1"/>
    </xf>
    <xf numFmtId="169" fontId="37" fillId="2" borderId="2" xfId="0" applyNumberFormat="1" applyFont="1" applyFill="1" applyBorder="1" applyProtection="1">
      <alignment horizontal="center" vertical="center" wrapText="1"/>
    </xf>
    <xf numFmtId="58" fontId="38" fillId="2" borderId="2" xfId="0" applyNumberFormat="1" applyFont="1" applyFill="1" applyBorder="1" applyProtection="1">
      <alignment horizontal="center" vertical="center" wrapText="1"/>
    </xf>
    <xf numFmtId="0" fontId="38" fillId="2" borderId="2" xfId="0" applyFont="1" applyFill="1" applyBorder="1" applyProtection="1">
      <alignment horizontal="left" vertical="center" wrapText="1"/>
    </xf>
    <xf numFmtId="0" fontId="38" fillId="0" borderId="1" xfId="0" applyFont="1" applyBorder="1" applyProtection="1">
      <alignment horizontal="left" vertical="top" wrapText="1"/>
    </xf>
    <xf numFmtId="58" fontId="38" fillId="0" borderId="1" xfId="0" applyNumberFormat="1" applyFont="1" applyBorder="1" applyProtection="1">
      <alignment horizontal="left" vertical="center" wrapText="1"/>
    </xf>
    <xf numFmtId="0" fontId="31" fillId="4" borderId="3" xfId="0" applyFont="1" applyFill="1" applyBorder="1" applyProtection="1">
      <alignment horizontal="center" vertical="center" wrapText="1"/>
    </xf>
    <xf numFmtId="14" fontId="30" fillId="0" borderId="1" xfId="0" applyNumberFormat="1" applyFont="1" applyBorder="1" applyProtection="1">
      <alignment horizontal="center" vertical="center" wrapText="1"/>
    </xf>
    <xf numFmtId="58" fontId="13" fillId="0" borderId="1" xfId="0" applyNumberFormat="1" applyFont="1" applyBorder="1" applyProtection="1">
      <alignment horizontal="center" vertical="center" wrapText="1"/>
    </xf>
    <xf numFmtId="58" fontId="13" fillId="0" borderId="1" xfId="0" applyNumberFormat="1" applyFont="1" applyBorder="1" applyProtection="1">
      <alignment horizontal="left" vertical="center" wrapText="1"/>
    </xf>
    <xf numFmtId="0" fontId="30" fillId="0" borderId="2" xfId="0" applyFont="1" applyBorder="1" applyProtection="1">
      <alignment horizontal="center" vertical="center" wrapText="1"/>
    </xf>
    <xf numFmtId="0" fontId="39" fillId="0" borderId="2" xfId="0" applyFont="1" applyBorder="1" applyProtection="1">
      <alignment horizontal="general" vertical="center" wrapText="1"/>
    </xf>
    <xf numFmtId="0" fontId="35" fillId="0" borderId="1" xfId="0" applyFont="1" applyBorder="1" applyProtection="1">
      <alignment horizontal="general" vertical="top" wrapText="1"/>
    </xf>
    <xf numFmtId="169" fontId="30" fillId="0" borderId="1" xfId="0" applyNumberFormat="1" applyFont="1" applyBorder="1" applyProtection="1">
      <alignment horizontal="center" vertical="center" wrapText="1"/>
    </xf>
    <xf numFmtId="58" fontId="30" fillId="0" borderId="1" xfId="0" applyNumberFormat="1" applyFont="1" applyBorder="1" applyProtection="1">
      <alignment horizontal="center" vertical="center" wrapText="1"/>
    </xf>
    <xf numFmtId="0" fontId="30" fillId="0" borderId="1" xfId="0" applyFont="1" applyBorder="1" applyProtection="1">
      <alignment horizontal="center" vertical="center" wrapText="1"/>
    </xf>
    <xf numFmtId="0" fontId="40" fillId="0" borderId="0" xfId="0" applyFont="1">
      <alignment horizontal="general" vertical="center"/>
    </xf>
    <xf numFmtId="0" fontId="41" fillId="0" borderId="0" xfId="0" applyFont="1">
      <alignment horizontal="general" vertical="center"/>
    </xf>
    <xf numFmtId="0" fontId="42" fillId="0" borderId="0" xfId="0" applyFont="1">
      <alignment horizontal="general" vertical="center"/>
    </xf>
    <xf numFmtId="0" fontId="6" fillId="0" borderId="0" xfId="0" applyFont="1">
      <alignment horizontal="general" vertical="top"/>
    </xf>
    <xf numFmtId="0" fontId="43" fillId="0" borderId="1" xfId="0" applyFont="1" applyBorder="1" applyProtection="1">
      <alignment horizontal="general" vertical="center" wrapText="1"/>
    </xf>
    <xf numFmtId="0" fontId="43" fillId="0" borderId="3" xfId="0" applyFont="1" applyBorder="1" applyProtection="1">
      <alignment horizontal="general" vertical="center" wrapText="1"/>
    </xf>
    <xf numFmtId="0" fontId="6" fillId="0" borderId="1" xfId="0" applyFont="1" applyBorder="1" applyProtection="1">
      <alignment horizontal="left" vertical="center"/>
    </xf>
    <xf numFmtId="0" fontId="44" fillId="0" borderId="2" xfId="0" applyFont="1" applyBorder="1" applyProtection="1">
      <alignment horizontal="center" vertical="center"/>
    </xf>
    <xf numFmtId="0" fontId="44" fillId="0" borderId="8" xfId="0" applyFont="1" applyBorder="1" applyProtection="1">
      <alignment horizontal="center" vertical="center"/>
    </xf>
    <xf numFmtId="0" fontId="44" fillId="0" borderId="1" xfId="0" applyFont="1" applyBorder="1" applyProtection="1">
      <alignment horizontal="center" vertical="center"/>
    </xf>
    <xf numFmtId="0" fontId="44" fillId="0" borderId="11" xfId="0" applyFont="1" applyBorder="1" applyProtection="1">
      <alignment horizontal="center" vertical="center"/>
    </xf>
    <xf numFmtId="0" fontId="44" fillId="8" borderId="1" xfId="0" applyFont="1" applyFill="1" applyBorder="1" applyProtection="1">
      <alignment horizontal="general" vertical="center"/>
    </xf>
    <xf numFmtId="0" fontId="44" fillId="8" borderId="1" xfId="0" applyFont="1" applyFill="1" applyBorder="1" applyProtection="1">
      <alignment horizontal="center" vertical="center"/>
    </xf>
    <xf numFmtId="0" fontId="6" fillId="4" borderId="9" xfId="0" applyFont="1" applyFill="1" applyBorder="1" applyProtection="1">
      <alignment horizontal="left" vertical="center"/>
    </xf>
    <xf numFmtId="0" fontId="44" fillId="4" borderId="9" xfId="0" applyFont="1" applyFill="1" applyBorder="1" applyProtection="1">
      <alignment horizontal="center" vertical="center"/>
    </xf>
    <xf numFmtId="0" fontId="45" fillId="0" borderId="1" xfId="0" applyFont="1" applyBorder="1" applyProtection="1">
      <alignment horizontal="center" vertical="center"/>
    </xf>
    <xf numFmtId="0" fontId="40" fillId="0" borderId="1" xfId="0" applyFont="1" applyBorder="1" applyProtection="1">
      <alignment horizontal="general" vertical="center" wrapText="1"/>
    </xf>
    <xf numFmtId="0" fontId="40" fillId="0" borderId="3" xfId="0" applyFont="1" applyBorder="1" applyProtection="1">
      <alignment horizontal="general" vertical="center"/>
    </xf>
    <xf numFmtId="0" fontId="40" fillId="0" borderId="1" xfId="0" applyFont="1" applyBorder="1" applyProtection="1">
      <alignment horizontal="center" vertical="center" wrapText="1"/>
    </xf>
    <xf numFmtId="0" fontId="40" fillId="0" borderId="1" xfId="0" applyFont="1" applyBorder="1" applyProtection="1">
      <alignment horizontal="general" vertical="top" wrapText="1"/>
    </xf>
    <xf numFmtId="0" fontId="46" fillId="0" borderId="1" xfId="0" applyFont="1" applyBorder="1" applyProtection="1">
      <alignment horizontal="center" vertical="center"/>
    </xf>
    <xf numFmtId="0" fontId="6" fillId="4" borderId="1" xfId="0" applyFont="1" applyFill="1" applyBorder="1" applyProtection="1">
      <alignment horizontal="left" vertical="center"/>
    </xf>
    <xf numFmtId="0" fontId="45" fillId="0" borderId="2" xfId="0" applyFont="1" applyBorder="1" applyProtection="1">
      <alignment horizontal="center" vertical="center"/>
    </xf>
    <xf numFmtId="0" fontId="6" fillId="4" borderId="1" xfId="0" applyFont="1" applyFill="1" applyBorder="1" applyProtection="1">
      <alignment horizontal="general" vertical="center"/>
    </xf>
    <xf numFmtId="0" fontId="26" fillId="0" borderId="1" xfId="0" applyFont="1" applyBorder="1" applyProtection="1">
      <alignment horizontal="general" vertical="center" wrapText="1"/>
    </xf>
    <xf numFmtId="0" fontId="26" fillId="0" borderId="3" xfId="0" applyFont="1" applyBorder="1" applyProtection="1">
      <alignment horizontal="general" vertical="center"/>
    </xf>
    <xf numFmtId="0" fontId="26" fillId="7" borderId="1" xfId="0" applyFont="1" applyFill="1" applyBorder="1" applyProtection="1">
      <alignment horizontal="general" vertical="center" wrapText="1"/>
    </xf>
    <xf numFmtId="0" fontId="26" fillId="0" borderId="1" xfId="0" applyFont="1" applyBorder="1" applyProtection="1">
      <alignment horizontal="center" vertical="center" wrapText="1"/>
    </xf>
    <xf numFmtId="0" fontId="26" fillId="7" borderId="1" xfId="0" applyFont="1" applyFill="1" applyBorder="1" applyProtection="1">
      <alignment horizontal="general" vertical="top" wrapText="1"/>
    </xf>
    <xf numFmtId="0" fontId="41" fillId="0" borderId="1" xfId="0" applyFont="1" applyBorder="1" applyProtection="1">
      <alignment horizontal="center" vertical="center"/>
    </xf>
    <xf numFmtId="0" fontId="41" fillId="0" borderId="1" xfId="0" applyFont="1" applyBorder="1" applyProtection="1">
      <alignment horizontal="left" vertical="center"/>
    </xf>
    <xf numFmtId="0" fontId="41" fillId="0" borderId="1" xfId="0" applyFont="1" applyBorder="1" applyProtection="1">
      <alignment horizontal="left" vertical="center" wrapText="1"/>
    </xf>
    <xf numFmtId="0" fontId="26" fillId="0" borderId="1" xfId="0" applyFont="1" applyBorder="1" applyProtection="1">
      <alignment horizontal="general" vertical="top" wrapText="1"/>
    </xf>
    <xf numFmtId="0" fontId="40" fillId="0" borderId="1" xfId="0" applyFont="1" applyBorder="1" applyProtection="1">
      <alignment horizontal="general" vertical="center"/>
    </xf>
    <xf numFmtId="0" fontId="44" fillId="8" borderId="1" xfId="0" applyFont="1" applyFill="1" applyBorder="1" applyProtection="1">
      <alignment horizontal="left" vertical="center"/>
    </xf>
    <xf numFmtId="0" fontId="44" fillId="8" borderId="3" xfId="0" applyFont="1" applyFill="1" applyBorder="1" applyProtection="1">
      <alignment horizontal="center" vertical="center"/>
    </xf>
    <xf numFmtId="0" fontId="44" fillId="8" borderId="1" xfId="0" applyFont="1" applyFill="1" applyBorder="1" applyProtection="1">
      <alignment horizontal="center" vertical="center" wrapText="1"/>
    </xf>
    <xf numFmtId="0" fontId="44" fillId="8" borderId="1" xfId="0" applyFont="1" applyFill="1" applyBorder="1" applyProtection="1">
      <alignment horizontal="center" vertical="top"/>
    </xf>
    <xf numFmtId="0" fontId="6" fillId="8" borderId="1" xfId="0" applyFont="1" applyFill="1" applyBorder="1" applyProtection="1">
      <alignment horizontal="center" vertical="center"/>
    </xf>
    <xf numFmtId="0" fontId="42" fillId="0" borderId="1" xfId="0" applyFont="1" applyBorder="1" applyProtection="1">
      <alignment horizontal="general" vertical="center"/>
    </xf>
    <xf numFmtId="0" fontId="42" fillId="0" borderId="3" xfId="0" applyFont="1" applyBorder="1" applyProtection="1">
      <alignment horizontal="general" vertical="center"/>
    </xf>
    <xf numFmtId="0" fontId="42" fillId="0" borderId="1" xfId="0" applyFont="1" applyBorder="1" applyProtection="1">
      <alignment horizontal="general" vertical="center" wrapText="1"/>
    </xf>
    <xf numFmtId="0" fontId="42" fillId="0" borderId="1" xfId="0" applyFont="1" applyBorder="1" applyProtection="1">
      <alignment horizontal="center" vertical="center" wrapText="1"/>
    </xf>
    <xf numFmtId="0" fontId="42" fillId="0" borderId="1" xfId="0" applyFont="1" applyBorder="1" applyProtection="1">
      <alignment horizontal="general" vertical="top" wrapText="1"/>
    </xf>
    <xf numFmtId="0" fontId="40" fillId="0" borderId="8" xfId="0" applyFont="1" applyBorder="1" applyProtection="1">
      <alignment horizontal="general" vertical="center"/>
    </xf>
    <xf numFmtId="0" fontId="40" fillId="0" borderId="2" xfId="0" applyFont="1" applyBorder="1" applyProtection="1">
      <alignment horizontal="general" vertical="top" wrapText="1"/>
    </xf>
    <xf numFmtId="0" fontId="40" fillId="0" borderId="2" xfId="0" applyFont="1" applyBorder="1" applyProtection="1">
      <alignment horizontal="general" vertical="center"/>
    </xf>
    <xf numFmtId="0" fontId="40" fillId="0" borderId="3" xfId="0" applyFont="1" applyBorder="1" applyProtection="1">
      <alignment horizontal="general" vertical="center" wrapText="1"/>
    </xf>
    <xf numFmtId="0" fontId="45" fillId="0" borderId="1" xfId="0" applyFont="1" applyBorder="1" applyProtection="1">
      <alignment horizontal="general" vertical="bottom"/>
    </xf>
    <xf numFmtId="0" fontId="45" fillId="0" borderId="0" xfId="0" applyFont="1">
      <alignment horizontal="general" vertical="center"/>
    </xf>
    <xf numFmtId="0" fontId="6" fillId="4" borderId="2" xfId="0" applyFont="1" applyFill="1" applyBorder="1" applyProtection="1">
      <alignment horizontal="left" vertical="center"/>
    </xf>
    <xf numFmtId="0" fontId="44" fillId="4" borderId="6" xfId="0" applyFont="1" applyFill="1" applyBorder="1" applyProtection="1">
      <alignment horizontal="center" vertical="center"/>
    </xf>
    <xf numFmtId="0" fontId="45" fillId="0" borderId="1" xfId="0" applyFont="1" applyBorder="1" applyProtection="1">
      <alignment horizontal="left" vertical="center"/>
    </xf>
    <xf numFmtId="0" fontId="40" fillId="0" borderId="1" xfId="0" applyFont="1" applyBorder="1" applyProtection="1">
      <alignment horizontal="left" vertical="center" wrapText="1"/>
    </xf>
    <xf numFmtId="0" fontId="40" fillId="0" borderId="1" xfId="0" applyFont="1" applyBorder="1" applyProtection="1">
      <alignment horizontal="left" vertical="center"/>
    </xf>
    <xf numFmtId="0" fontId="46" fillId="0" borderId="1" xfId="0" applyFont="1" applyBorder="1" applyProtection="1">
      <alignment horizontal="left" vertical="center"/>
    </xf>
    <xf numFmtId="0" fontId="45" fillId="0" borderId="1" xfId="0" applyFont="1" applyBorder="1" applyProtection="1">
      <alignment horizontal="left" vertical="center" wrapText="1"/>
    </xf>
    <xf numFmtId="0" fontId="45" fillId="0" borderId="1" xfId="0" applyFont="1" applyBorder="1" applyProtection="1">
      <alignment horizontal="left" vertical="bottom"/>
    </xf>
    <xf numFmtId="0" fontId="45" fillId="0" borderId="1" xfId="0" applyFont="1" applyBorder="1" applyProtection="1">
      <alignment horizontal="left" vertical="top"/>
    </xf>
    <xf numFmtId="0" fontId="27" fillId="0" borderId="1" xfId="0" applyFont="1" applyBorder="1" applyProtection="1">
      <alignment horizontal="left" vertical="center" wrapText="1"/>
    </xf>
    <xf numFmtId="0" fontId="27" fillId="0" borderId="1" xfId="0" applyFont="1" applyBorder="1" applyProtection="1">
      <alignment horizontal="left" vertical="center"/>
    </xf>
    <xf numFmtId="0" fontId="47" fillId="0" borderId="0" xfId="0" applyFont="1">
      <alignment horizontal="general" vertical="center"/>
    </xf>
    <xf numFmtId="0" fontId="41" fillId="0" borderId="1" xfId="0" applyFont="1" applyBorder="1" applyProtection="1">
      <alignment horizontal="left" vertical="bottom"/>
    </xf>
    <xf numFmtId="0" fontId="48" fillId="0" borderId="1" xfId="0" applyFont="1" applyBorder="1" applyProtection="1">
      <alignment horizontal="left" vertical="center"/>
    </xf>
    <xf numFmtId="0" fontId="42" fillId="0" borderId="1" xfId="0" applyFont="1" applyBorder="1" applyProtection="1">
      <alignment horizontal="left" vertical="center" wrapText="1"/>
    </xf>
    <xf numFmtId="0" fontId="42" fillId="0" borderId="1" xfId="0" applyFont="1" applyBorder="1" applyProtection="1">
      <alignment horizontal="left" vertical="center"/>
    </xf>
    <xf numFmtId="0" fontId="48" fillId="0" borderId="1" xfId="0" applyFont="1" applyBorder="1" applyProtection="1">
      <alignment horizontal="center" vertical="center" wrapText="1" indent="1"/>
    </xf>
    <xf numFmtId="0" fontId="48" fillId="0" borderId="1" xfId="0" applyFont="1" applyBorder="1" applyProtection="1">
      <alignment horizontal="left" vertical="center" wrapText="1"/>
    </xf>
    <xf numFmtId="0" fontId="48" fillId="0" borderId="1" xfId="0" applyFont="1" applyBorder="1" applyProtection="1">
      <alignment horizontal="left" vertical="bottom"/>
    </xf>
    <xf numFmtId="0" fontId="41" fillId="0" borderId="1" xfId="0" applyFont="1" applyBorder="1" applyProtection="1">
      <alignment horizontal="center" vertical="center" wrapText="1" indent="1"/>
    </xf>
    <xf numFmtId="0" fontId="6" fillId="8" borderId="0" xfId="0" applyFont="1" applyFill="1">
      <alignment horizontal="general" vertical="bottom"/>
    </xf>
    <xf numFmtId="0" fontId="6" fillId="0" borderId="0" xfId="0" applyFont="1">
      <alignment horizontal="general" vertical="center"/>
    </xf>
    <xf numFmtId="0" fontId="9" fillId="9" borderId="0" xfId="0" applyFont="1" applyFill="1">
      <alignment horizontal="general" vertical="center"/>
    </xf>
    <xf numFmtId="0" fontId="35" fillId="0" borderId="0" xfId="0" applyFont="1">
      <alignment horizontal="general" vertical="top" wrapText="1"/>
    </xf>
    <xf numFmtId="49" fontId="30" fillId="2" borderId="1" xfId="0" applyNumberFormat="1" applyFont="1" applyFill="1" applyBorder="1" applyProtection="1">
      <alignment horizontal="center" vertical="center" wrapText="1"/>
    </xf>
    <xf numFmtId="49" fontId="30" fillId="4" borderId="1" xfId="0" applyNumberFormat="1" applyFont="1" applyFill="1" applyBorder="1" applyProtection="1">
      <alignment horizontal="center" vertical="center" wrapText="1"/>
    </xf>
    <xf numFmtId="0" fontId="30" fillId="9" borderId="1" xfId="0" applyFont="1" applyFill="1" applyBorder="1" applyProtection="1">
      <alignment horizontal="center" vertical="center" wrapText="1"/>
    </xf>
    <xf numFmtId="0" fontId="49" fillId="2" borderId="1" xfId="0" applyFont="1" applyFill="1" applyBorder="1" applyProtection="1">
      <alignment horizontal="general" vertical="center" wrapText="1"/>
    </xf>
    <xf numFmtId="0" fontId="30" fillId="2" borderId="1" xfId="0" applyFont="1" applyFill="1" applyBorder="1" applyProtection="1">
      <alignment horizontal="general" vertical="center" wrapText="1"/>
    </xf>
    <xf numFmtId="0" fontId="30" fillId="2" borderId="1" xfId="0" applyFont="1" applyFill="1" applyBorder="1" applyProtection="1">
      <alignment horizontal="left" vertical="center" wrapText="1"/>
    </xf>
    <xf numFmtId="0" fontId="30" fillId="0" borderId="1" xfId="0" applyFont="1" applyBorder="1" applyProtection="1">
      <alignment horizontal="general" vertical="center" wrapText="1"/>
    </xf>
    <xf numFmtId="0" fontId="30" fillId="0" borderId="3" xfId="0" applyFont="1" applyBorder="1" applyProtection="1">
      <alignment horizontal="center" vertical="center" wrapText="1"/>
    </xf>
    <xf numFmtId="0" fontId="30" fillId="2" borderId="1" xfId="0" applyFont="1" applyFill="1" applyBorder="1" applyProtection="1">
      <alignment horizontal="center" vertical="center" wrapText="1"/>
    </xf>
    <xf numFmtId="0" fontId="30" fillId="2" borderId="2" xfId="0" applyFont="1" applyFill="1" applyBorder="1" applyProtection="1">
      <alignment horizontal="general" vertical="center" wrapText="1"/>
    </xf>
    <xf numFmtId="0" fontId="30" fillId="2" borderId="9" xfId="0" applyFont="1" applyFill="1" applyBorder="1" applyProtection="1">
      <alignment horizontal="general" vertical="center" wrapText="1"/>
    </xf>
    <xf numFmtId="0" fontId="30" fillId="0" borderId="8" xfId="0" applyFont="1" applyBorder="1" applyProtection="1">
      <alignment horizontal="center" vertical="center" wrapText="1"/>
    </xf>
    <xf numFmtId="0" fontId="30" fillId="9" borderId="3" xfId="0" applyFont="1" applyFill="1" applyBorder="1" applyProtection="1">
      <alignment horizontal="center" vertical="center" wrapText="1"/>
    </xf>
    <xf numFmtId="0" fontId="50" fillId="0" borderId="0" xfId="0" applyFont="1">
      <alignment horizontal="general" vertical="top" wrapText="1"/>
    </xf>
    <xf numFmtId="0" fontId="30" fillId="0" borderId="2" xfId="0" applyFont="1" applyBorder="1" applyProtection="1">
      <alignment horizontal="general" vertical="center" wrapText="1"/>
    </xf>
    <xf numFmtId="0" fontId="30" fillId="0" borderId="9" xfId="0" applyFont="1" applyBorder="1" applyProtection="1">
      <alignment horizontal="general" vertical="center" wrapText="1"/>
    </xf>
    <xf numFmtId="0" fontId="49" fillId="0" borderId="9" xfId="0" applyFont="1" applyBorder="1" applyProtection="1">
      <alignment horizontal="general" vertical="center" wrapText="1"/>
    </xf>
    <xf numFmtId="0" fontId="30" fillId="0" borderId="11" xfId="0" applyFont="1" applyBorder="1" applyProtection="1">
      <alignment horizontal="general" vertical="center" wrapText="1"/>
    </xf>
    <xf numFmtId="0" fontId="30" fillId="9" borderId="1" xfId="0" applyFont="1" applyFill="1" applyBorder="1" applyProtection="1">
      <alignment horizontal="left" vertical="center" wrapText="1"/>
    </xf>
    <xf numFmtId="0" fontId="51" fillId="0" borderId="1" xfId="0" applyFont="1" applyBorder="1" applyProtection="1">
      <alignment horizontal="center" vertical="center" wrapText="1"/>
    </xf>
    <xf numFmtId="0" fontId="52" fillId="0" borderId="1" xfId="0" applyFont="1" applyBorder="1" applyProtection="1">
      <alignment horizontal="center" vertical="center" wrapText="1"/>
    </xf>
    <xf numFmtId="0" fontId="29" fillId="0" borderId="1" xfId="0" applyFont="1" applyBorder="1" applyProtection="1">
      <alignment horizontal="general" vertical="center" wrapText="1"/>
    </xf>
    <xf numFmtId="0" fontId="53" fillId="0" borderId="1" xfId="0" applyFont="1" applyBorder="1" applyProtection="1">
      <alignment horizontal="general" vertical="center" wrapText="1"/>
    </xf>
    <xf numFmtId="0" fontId="49" fillId="0" borderId="11" xfId="0" applyFont="1" applyBorder="1" applyProtection="1">
      <alignment horizontal="general" vertical="center" wrapText="1"/>
    </xf>
    <xf numFmtId="0" fontId="30" fillId="9" borderId="2" xfId="0" applyFont="1" applyFill="1" applyBorder="1" applyProtection="1">
      <alignment horizontal="center" vertical="center" wrapText="1"/>
    </xf>
    <xf numFmtId="0" fontId="38" fillId="4" borderId="1" xfId="0" applyFont="1" applyFill="1" applyBorder="1" applyProtection="1">
      <alignment horizontal="general" vertical="bottom"/>
    </xf>
    <xf numFmtId="0" fontId="35" fillId="0" borderId="0" xfId="0" applyFont="1">
      <alignment horizontal="left" vertical="center" wrapText="1"/>
    </xf>
    <xf numFmtId="0" fontId="9" fillId="0" borderId="0" xfId="0" applyFont="1">
      <alignment horizontal="general" vertical="center"/>
    </xf>
    <xf numFmtId="0" fontId="13" fillId="2" borderId="1" xfId="0" applyFont="1" applyFill="1" applyBorder="1" applyProtection="1">
      <alignment horizontal="left" vertical="center" wrapText="1"/>
    </xf>
    <xf numFmtId="0" fontId="13" fillId="2" borderId="1" xfId="0" applyFont="1" applyFill="1" applyBorder="1" applyProtection="1">
      <alignment horizontal="general" vertical="center" wrapText="1"/>
    </xf>
    <xf numFmtId="0" fontId="41" fillId="0" borderId="1" xfId="0" applyFont="1" applyBorder="1" applyProtection="1">
      <alignment horizontal="left" vertical="center" wrapText="1"/>
    </xf>
    <xf numFmtId="0" fontId="30" fillId="0" borderId="2" xfId="0" applyFont="1" applyBorder="1" applyProtection="1">
      <alignment horizontal="left" vertical="top" wrapText="1"/>
    </xf>
    <xf numFmtId="0" fontId="6" fillId="0" borderId="0" xfId="0" applyFont="1">
      <alignment horizontal="general" vertical="bottom"/>
    </xf>
    <xf numFmtId="0" fontId="26" fillId="6" borderId="0" xfId="0" applyFont="1" applyFill="1">
      <alignment horizontal="general" vertical="center"/>
    </xf>
    <xf numFmtId="0" fontId="33" fillId="4" borderId="2" xfId="0" applyFont="1" applyFill="1" applyBorder="1" applyProtection="1">
      <alignment horizontal="center" vertical="center" wrapText="1"/>
    </xf>
    <xf numFmtId="58" fontId="34" fillId="0" borderId="2" xfId="0" applyNumberFormat="1" applyFont="1" applyBorder="1" applyProtection="1">
      <alignment horizontal="left" vertical="center" wrapText="1"/>
    </xf>
    <xf numFmtId="169" fontId="54" fillId="0" borderId="1" xfId="0" applyNumberFormat="1" applyFont="1" applyBorder="1" applyProtection="1">
      <alignment horizontal="center" vertical="center" wrapText="1"/>
    </xf>
    <xf numFmtId="0" fontId="27" fillId="0" borderId="0" xfId="0" applyFont="1">
      <alignment horizontal="general" vertical="center"/>
    </xf>
    <xf numFmtId="0" fontId="33" fillId="4" borderId="1" xfId="0" applyFont="1" applyFill="1" applyBorder="1" applyProtection="1">
      <alignment horizontal="center" vertical="center" wrapText="1"/>
    </xf>
    <xf numFmtId="169" fontId="34" fillId="0" borderId="2" xfId="0" applyNumberFormat="1" applyFont="1" applyBorder="1" applyProtection="1">
      <alignment horizontal="center" vertical="center" wrapText="1"/>
    </xf>
    <xf numFmtId="58" fontId="34" fillId="0" borderId="2" xfId="0" applyNumberFormat="1" applyFont="1" applyBorder="1" applyProtection="1">
      <alignment horizontal="center" vertical="center" wrapText="1"/>
    </xf>
    <xf numFmtId="0" fontId="34" fillId="7" borderId="1" xfId="0" applyFont="1" applyFill="1" applyBorder="1" applyProtection="1">
      <alignment horizontal="left" vertical="center" wrapText="1"/>
    </xf>
    <xf numFmtId="0" fontId="34" fillId="0" borderId="2" xfId="0" applyFont="1" applyBorder="1" applyProtection="1">
      <alignment horizontal="left" vertical="center" wrapText="1"/>
    </xf>
    <xf numFmtId="0" fontId="34" fillId="0" borderId="2" xfId="0" applyFont="1" applyBorder="1" applyProtection="1">
      <alignment horizontal="left" vertical="top" wrapText="1"/>
    </xf>
    <xf numFmtId="0" fontId="34" fillId="0" borderId="1" xfId="0" applyFont="1" applyBorder="1" applyProtection="1">
      <alignment horizontal="left" vertical="center" wrapText="1"/>
    </xf>
    <xf numFmtId="0" fontId="8" fillId="6" borderId="1" xfId="0" applyFont="1" applyFill="1" applyBorder="1" applyProtection="1">
      <alignment horizontal="center" vertical="center" wrapText="1"/>
    </xf>
    <xf numFmtId="0" fontId="6" fillId="6" borderId="1"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6" fillId="6" borderId="1" xfId="0" applyFont="1" applyFill="1" applyBorder="1" applyProtection="1">
      <alignment horizontal="general" vertical="center"/>
    </xf>
    <xf numFmtId="0" fontId="6" fillId="6" borderId="17" xfId="0" applyFont="1" applyFill="1" applyBorder="1" applyProtection="1">
      <alignment horizontal="general" vertical="center"/>
    </xf>
    <xf numFmtId="0" fontId="27" fillId="0" borderId="0" xfId="0" applyFont="1">
      <alignment horizontal="general" vertical="center"/>
    </xf>
    <xf numFmtId="0" fontId="41" fillId="10" borderId="9"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7" fillId="0" borderId="0" xfId="0" applyFont="1">
      <alignment horizontal="general" vertical="center"/>
    </xf>
    <xf numFmtId="0" fontId="55" fillId="10"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41" fillId="2" borderId="10"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2" borderId="1" xfId="0" applyFont="1" applyFill="1" applyBorder="1" applyProtection="1">
      <alignment horizontal="left" vertical="center" wrapText="1"/>
    </xf>
    <xf numFmtId="0" fontId="55" fillId="2" borderId="1" xfId="0" applyFont="1" applyFill="1" applyBorder="1" applyProtection="1">
      <alignment horizontal="center" vertical="center" wrapText="1"/>
    </xf>
    <xf numFmtId="0" fontId="55" fillId="5" borderId="1" xfId="0" applyFont="1" applyFill="1" applyBorder="1" applyProtection="1">
      <alignment horizontal="center" vertical="center" wrapText="1"/>
    </xf>
    <xf numFmtId="0" fontId="55" fillId="0" borderId="1" xfId="0" applyFont="1" applyBorder="1" applyProtection="1">
      <alignment horizontal="center" vertical="center" wrapText="1"/>
    </xf>
    <xf numFmtId="14" fontId="41" fillId="2" borderId="3"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55" fillId="11" borderId="1" xfId="0" applyFont="1" applyFill="1" applyBorder="1" applyProtection="1">
      <alignment horizontal="center" vertical="center" wrapText="1"/>
    </xf>
    <xf numFmtId="0" fontId="41" fillId="10" borderId="1" xfId="0" applyFont="1" applyFill="1" applyBorder="1" applyProtection="1">
      <alignment horizontal="left" vertical="center" wrapText="1"/>
    </xf>
    <xf numFmtId="0" fontId="41" fillId="10" borderId="9" xfId="0" applyFont="1" applyFill="1" applyBorder="1" applyProtection="1">
      <alignment horizontal="left" vertical="center" wrapText="1"/>
    </xf>
    <xf numFmtId="0" fontId="41" fillId="2" borderId="9" xfId="0" applyFont="1" applyFill="1" applyBorder="1" applyProtection="1">
      <alignment horizontal="center" vertical="center" wrapText="1"/>
    </xf>
    <xf numFmtId="0" fontId="41" fillId="5" borderId="9" xfId="0" applyFont="1" applyFill="1" applyBorder="1" applyProtection="1">
      <alignment horizontal="center" vertical="center" wrapText="1"/>
    </xf>
    <xf numFmtId="0" fontId="41" fillId="6" borderId="9" xfId="0" applyFont="1" applyFill="1" applyBorder="1" applyProtection="1">
      <alignment horizontal="center" vertical="center" wrapText="1"/>
    </xf>
    <xf numFmtId="0" fontId="55" fillId="0" borderId="9" xfId="0" applyFont="1" applyBorder="1" applyProtection="1">
      <alignment horizontal="center" vertical="center" wrapText="1"/>
    </xf>
    <xf numFmtId="0" fontId="41" fillId="2" borderId="10" xfId="0" applyFont="1" applyFill="1" applyBorder="1" applyProtection="1">
      <alignment horizontal="center" vertical="center" wrapText="1"/>
    </xf>
    <xf numFmtId="0" fontId="47" fillId="0" borderId="1" xfId="0" applyFont="1" applyBorder="1" applyProtection="1">
      <alignment horizontal="general" vertical="center" wrapText="1"/>
    </xf>
    <xf numFmtId="0" fontId="41" fillId="2" borderId="22" xfId="0" applyFont="1" applyFill="1" applyBorder="1" applyProtection="1">
      <alignment horizontal="center" vertical="center" wrapText="1"/>
    </xf>
    <xf numFmtId="9" fontId="56" fillId="2" borderId="10" xfId="0" applyNumberFormat="1" applyFont="1" applyFill="1" applyBorder="1" applyProtection="1">
      <alignment horizontal="center" vertical="center" wrapText="1"/>
    </xf>
    <xf numFmtId="0" fontId="57" fillId="0" borderId="1" xfId="0" applyFont="1" applyBorder="1" applyProtection="1">
      <alignment horizontal="left" vertical="center" wrapText="1"/>
    </xf>
    <xf numFmtId="0" fontId="41" fillId="2" borderId="1" xfId="0" applyFont="1" applyFill="1" applyBorder="1" applyProtection="1">
      <alignment horizontal="general" vertical="center" wrapText="1"/>
    </xf>
    <xf numFmtId="0" fontId="41" fillId="2" borderId="0" xfId="0" applyFont="1" applyFill="1">
      <alignment horizontal="center" vertical="center" wrapText="1"/>
    </xf>
    <xf numFmtId="0" fontId="41" fillId="5" borderId="0" xfId="0" applyFont="1" applyFill="1">
      <alignment horizontal="center" vertical="center" wrapText="1"/>
    </xf>
    <xf numFmtId="0" fontId="41" fillId="0" borderId="0" xfId="0" applyFont="1">
      <alignment horizontal="center" vertical="center" wrapText="1"/>
    </xf>
    <xf numFmtId="0" fontId="47" fillId="0" borderId="0" xfId="0" applyFont="1">
      <alignment horizontal="general" vertical="center" wrapText="1"/>
    </xf>
    <xf numFmtId="0" fontId="41" fillId="0" borderId="23" xfId="0" applyFont="1" applyBorder="1" applyProtection="1">
      <alignment horizontal="left" vertical="center" wrapText="1"/>
    </xf>
    <xf numFmtId="0" fontId="41" fillId="10" borderId="23" xfId="0" applyFont="1" applyFill="1" applyBorder="1" applyProtection="1">
      <alignment horizontal="left" vertical="center" wrapText="1"/>
    </xf>
    <xf numFmtId="0" fontId="41" fillId="2" borderId="23" xfId="0" applyFont="1" applyFill="1" applyBorder="1" applyProtection="1">
      <alignment horizontal="left" vertical="center" wrapText="1"/>
    </xf>
    <xf numFmtId="0" fontId="41" fillId="0" borderId="1" xfId="0" applyFont="1" applyBorder="1" applyProtection="1">
      <alignment horizontal="general" vertical="center" wrapText="1"/>
    </xf>
    <xf numFmtId="0" fontId="45" fillId="0" borderId="1" xfId="0" applyFont="1" applyBorder="1" applyProtection="1">
      <alignment horizontal="left" vertical="center"/>
    </xf>
    <xf numFmtId="0" fontId="40" fillId="0" borderId="1" xfId="0" applyFont="1" applyBorder="1" applyProtection="1">
      <alignment horizontal="left" vertical="center" wrapText="1"/>
    </xf>
    <xf numFmtId="0" fontId="40" fillId="0" borderId="1" xfId="0" applyFont="1" applyBorder="1" applyProtection="1">
      <alignment horizontal="left" vertical="center"/>
    </xf>
    <xf numFmtId="0" fontId="45" fillId="0" borderId="1" xfId="0" applyFont="1" applyBorder="1" applyProtection="1">
      <alignment horizontal="center" vertical="center" wrapText="1" indent="1"/>
    </xf>
    <xf numFmtId="0" fontId="45" fillId="0" borderId="1" xfId="0" applyFont="1" applyBorder="1" applyProtection="1">
      <alignment horizontal="left" vertical="center" wrapText="1"/>
    </xf>
    <xf numFmtId="0" fontId="45" fillId="0" borderId="1" xfId="0" applyFont="1" applyBorder="1" applyProtection="1">
      <alignment horizontal="left" vertical="bottom"/>
    </xf>
    <xf numFmtId="0" fontId="40" fillId="0" borderId="0" xfId="0" applyFont="1">
      <alignment horizontal="general" vertical="center"/>
    </xf>
    <xf numFmtId="49" fontId="58" fillId="2" borderId="1" xfId="0" applyNumberFormat="1" applyFont="1" applyFill="1" applyBorder="1" applyProtection="1">
      <alignment horizontal="general" vertical="center"/>
    </xf>
    <xf numFmtId="0" fontId="27" fillId="0" borderId="0" xfId="0" applyFont="1">
      <alignment horizontal="general" vertical="center"/>
    </xf>
    <xf numFmtId="14" fontId="41" fillId="0" borderId="1" xfId="0" applyNumberFormat="1" applyFont="1" applyBorder="1" applyProtection="1">
      <alignment horizontal="center" vertical="center"/>
    </xf>
    <xf numFmtId="14" fontId="6" fillId="0" borderId="0" xfId="0" applyNumberFormat="1" applyFont="1">
      <alignment horizontal="general" vertical="bottom"/>
    </xf>
    <xf numFmtId="14" fontId="44" fillId="0" borderId="1" xfId="0" applyNumberFormat="1" applyFont="1" applyBorder="1" applyProtection="1">
      <alignment horizontal="center" vertical="center"/>
    </xf>
    <xf numFmtId="14" fontId="44" fillId="8" borderId="1" xfId="0" applyNumberFormat="1" applyFont="1" applyFill="1" applyBorder="1" applyProtection="1">
      <alignment horizontal="center" vertical="center"/>
    </xf>
    <xf numFmtId="14" fontId="44" fillId="4" borderId="9" xfId="0" applyNumberFormat="1" applyFont="1" applyFill="1" applyBorder="1" applyProtection="1">
      <alignment horizontal="center" vertical="center"/>
    </xf>
    <xf numFmtId="14" fontId="40" fillId="0" borderId="1" xfId="0" applyNumberFormat="1" applyFont="1" applyBorder="1" applyProtection="1">
      <alignment horizontal="center" vertical="center" wrapText="1"/>
    </xf>
    <xf numFmtId="14" fontId="26" fillId="0" borderId="1" xfId="0" applyNumberFormat="1" applyFont="1" applyBorder="1" applyProtection="1">
      <alignment horizontal="center" vertical="center" wrapText="1"/>
    </xf>
    <xf numFmtId="14" fontId="42" fillId="0" borderId="1" xfId="0" applyNumberFormat="1" applyFont="1" applyBorder="1" applyProtection="1">
      <alignment horizontal="center" vertical="center" wrapText="1"/>
    </xf>
    <xf numFmtId="14" fontId="44" fillId="4" borderId="6" xfId="0" applyNumberFormat="1" applyFont="1" applyFill="1" applyBorder="1" applyProtection="1">
      <alignment horizontal="center" vertical="center"/>
    </xf>
    <xf numFmtId="14" fontId="40" fillId="0" borderId="1" xfId="0" applyNumberFormat="1" applyFont="1" applyBorder="1" applyProtection="1">
      <alignment horizontal="left" vertical="center" wrapText="1"/>
    </xf>
    <xf numFmtId="14" fontId="41" fillId="0" borderId="1" xfId="0" applyNumberFormat="1" applyFont="1" applyBorder="1" applyProtection="1">
      <alignment horizontal="left" vertical="center" wrapText="1"/>
    </xf>
    <xf numFmtId="14" fontId="27" fillId="0" borderId="1" xfId="0" applyNumberFormat="1" applyFont="1" applyBorder="1" applyProtection="1">
      <alignment horizontal="left" vertical="center" wrapText="1"/>
    </xf>
    <xf numFmtId="14" fontId="42" fillId="0" borderId="1" xfId="0" applyNumberFormat="1" applyFont="1" applyBorder="1" applyProtection="1">
      <alignment horizontal="left" vertical="center" wrapText="1"/>
    </xf>
    <xf numFmtId="0" fontId="41" fillId="2" borderId="1" xfId="0" applyFont="1" applyFill="1" applyBorder="1" applyProtection="1">
      <alignment horizontal="left"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55" fillId="6" borderId="1" xfId="0" applyFont="1" applyFill="1" applyBorder="1" applyProtection="1">
      <alignment horizontal="center" vertical="center" wrapText="1"/>
    </xf>
    <xf numFmtId="0" fontId="55" fillId="5" borderId="1" xfId="0" applyFont="1" applyFill="1" applyBorder="1" applyProtection="1">
      <alignment horizontal="center" vertical="center" wrapText="1"/>
    </xf>
    <xf numFmtId="0" fontId="55"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58" fontId="41" fillId="2" borderId="3"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6" borderId="1" xfId="0" applyFont="1" applyFill="1" applyBorder="1" applyProtection="1">
      <alignment horizontal="center" vertical="center" wrapText="1"/>
    </xf>
    <xf numFmtId="0" fontId="41" fillId="0" borderId="1" xfId="0" applyFont="1" applyBorder="1" applyProtection="1">
      <alignment horizontal="center" vertical="center" wrapText="1"/>
    </xf>
    <xf numFmtId="0" fontId="6" fillId="0" borderId="1" xfId="0" applyFont="1" applyBorder="1" applyProtection="1">
      <alignment horizontal="center" vertical="center"/>
    </xf>
    <xf numFmtId="0" fontId="27" fillId="0" borderId="0" xfId="0" applyFont="1">
      <alignment horizontal="general" vertical="center"/>
    </xf>
    <xf numFmtId="0" fontId="41" fillId="2" borderId="1" xfId="0" applyFont="1" applyFill="1" applyBorder="1" applyProtection="1">
      <alignment horizontal="general"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0" borderId="1" xfId="0" applyFont="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0" borderId="1" xfId="0" applyFont="1" applyBorder="1" applyProtection="1">
      <alignment horizontal="general" vertical="center" wrapText="1"/>
    </xf>
    <xf numFmtId="0" fontId="27" fillId="0" borderId="0" xfId="0" applyFont="1">
      <alignment horizontal="general" vertical="center"/>
    </xf>
    <xf numFmtId="0" fontId="27" fillId="0" borderId="0" xfId="0" applyFont="1">
      <alignment horizontal="general" vertical="center"/>
    </xf>
    <xf numFmtId="0" fontId="41" fillId="2" borderId="2" xfId="0" applyFont="1" applyFill="1" applyBorder="1" applyProtection="1">
      <alignment horizontal="center" vertical="center" wrapText="1"/>
    </xf>
    <xf numFmtId="0" fontId="41" fillId="0" borderId="1" xfId="0" applyFont="1" applyBorder="1" applyProtection="1">
      <alignment horizontal="general" vertical="center" wrapText="1"/>
    </xf>
    <xf numFmtId="0" fontId="55"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10"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2" fillId="0" borderId="0" xfId="0" applyFont="1">
      <alignment horizontal="general" vertical="center"/>
    </xf>
    <xf numFmtId="0" fontId="48" fillId="2" borderId="9" xfId="0" applyFont="1" applyFill="1" applyBorder="1" applyProtection="1">
      <alignment horizontal="left" vertical="center" wrapText="1"/>
    </xf>
    <xf numFmtId="0" fontId="48" fillId="2" borderId="9" xfId="0" applyFont="1" applyFill="1" applyBorder="1" applyProtection="1">
      <alignment horizontal="center" vertical="center" wrapText="1"/>
    </xf>
    <xf numFmtId="0" fontId="48" fillId="5" borderId="9" xfId="0" applyFont="1" applyFill="1" applyBorder="1" applyProtection="1">
      <alignment horizontal="center" vertical="center" wrapText="1"/>
    </xf>
    <xf numFmtId="0" fontId="48" fillId="6" borderId="9" xfId="0" applyFont="1" applyFill="1" applyBorder="1" applyProtection="1">
      <alignment horizontal="center" vertical="center" wrapText="1"/>
    </xf>
    <xf numFmtId="0" fontId="41" fillId="2" borderId="1" xfId="0" applyFont="1" applyFill="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59" fillId="0" borderId="9" xfId="0" applyFont="1" applyBorder="1" applyProtection="1">
      <alignment horizontal="center" vertical="center" wrapText="1"/>
    </xf>
    <xf numFmtId="0" fontId="60" fillId="0" borderId="0" xfId="0" applyFont="1">
      <alignment horizontal="general" vertical="center" wrapText="1"/>
    </xf>
    <xf numFmtId="0" fontId="48" fillId="0" borderId="9" xfId="0" applyFont="1" applyBorder="1" applyProtection="1">
      <alignment horizontal="center" vertical="center" wrapText="1"/>
    </xf>
    <xf numFmtId="14" fontId="48" fillId="2" borderId="10" xfId="0" applyNumberFormat="1" applyFont="1" applyFill="1" applyBorder="1" applyProtection="1">
      <alignment horizontal="center" vertical="center" wrapText="1"/>
    </xf>
    <xf numFmtId="9" fontId="61" fillId="2" borderId="10" xfId="0" applyNumberFormat="1" applyFont="1" applyFill="1" applyBorder="1" applyProtection="1">
      <alignment horizontal="center" vertical="center" wrapText="1"/>
    </xf>
    <xf numFmtId="0" fontId="48" fillId="2" borderId="24" xfId="0" applyFont="1" applyFill="1" applyBorder="1" applyProtection="1">
      <alignment horizontal="general" vertical="center" wrapText="1"/>
    </xf>
    <xf numFmtId="0" fontId="41" fillId="2" borderId="1" xfId="0" applyFont="1" applyFill="1" applyBorder="1" applyProtection="1">
      <alignment horizontal="left"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49" fontId="62" fillId="2" borderId="9" xfId="0" applyNumberFormat="1" applyFont="1" applyFill="1" applyBorder="1" applyProtection="1">
      <alignment horizontal="left" vertical="center" wrapText="1"/>
    </xf>
    <xf numFmtId="0" fontId="27" fillId="0" borderId="0" xfId="0" applyFont="1">
      <alignment horizontal="general" vertical="center"/>
    </xf>
    <xf numFmtId="0" fontId="41" fillId="0" borderId="9" xfId="0" applyFont="1" applyBorder="1" applyProtection="1">
      <alignment horizontal="center" vertical="center"/>
    </xf>
    <xf numFmtId="0" fontId="27" fillId="0" borderId="1" xfId="0" applyFont="1" applyBorder="1" applyProtection="1">
      <alignment horizontal="general" vertical="center" wrapText="1"/>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7" borderId="1" xfId="0" applyFont="1" applyFill="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41" fillId="0" borderId="1" xfId="0" applyFont="1" applyBorder="1" applyProtection="1">
      <alignment horizontal="center" vertical="center"/>
    </xf>
    <xf numFmtId="0" fontId="41" fillId="10" borderId="9" xfId="0" applyFont="1" applyFill="1" applyBorder="1" applyProtection="1">
      <alignment horizontal="left" vertical="center" wrapText="1"/>
    </xf>
    <xf numFmtId="0" fontId="41" fillId="2" borderId="9" xfId="0" applyFont="1" applyFill="1" applyBorder="1" applyProtection="1">
      <alignment horizontal="center" vertical="center" wrapText="1"/>
    </xf>
    <xf numFmtId="0" fontId="41" fillId="5" borderId="9" xfId="0" applyFont="1" applyFill="1" applyBorder="1" applyProtection="1">
      <alignment horizontal="center" vertical="center" wrapText="1"/>
    </xf>
    <xf numFmtId="0" fontId="41" fillId="6" borderId="9" xfId="0" applyFont="1" applyFill="1" applyBorder="1" applyProtection="1">
      <alignment horizontal="center" vertical="center" wrapText="1"/>
    </xf>
    <xf numFmtId="0" fontId="55" fillId="0" borderId="9" xfId="0" applyFont="1" applyBorder="1" applyProtection="1">
      <alignment horizontal="center" vertical="center" wrapText="1"/>
    </xf>
    <xf numFmtId="0" fontId="41" fillId="2" borderId="10"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7" fillId="0" borderId="1" xfId="0" applyFont="1" applyBorder="1" applyProtection="1">
      <alignment horizontal="general" vertical="center"/>
    </xf>
    <xf numFmtId="0" fontId="41" fillId="2" borderId="22" xfId="0" applyFont="1" applyFill="1" applyBorder="1" applyProtection="1">
      <alignment horizontal="center" vertical="center" wrapText="1"/>
    </xf>
    <xf numFmtId="0" fontId="55" fillId="5" borderId="9" xfId="0" applyFont="1" applyFill="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24" xfId="0" applyFont="1" applyFill="1" applyBorder="1" applyProtection="1">
      <alignment horizontal="general" vertical="center" wrapText="1"/>
    </xf>
    <xf numFmtId="0" fontId="41" fillId="2" borderId="23" xfId="0" applyFont="1" applyFill="1" applyBorder="1" applyProtection="1">
      <alignment horizontal="left"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0" fontId="41" fillId="2" borderId="12" xfId="0" applyFont="1" applyFill="1" applyBorder="1" applyProtection="1">
      <alignment horizontal="general" vertical="center" wrapText="1"/>
    </xf>
    <xf numFmtId="0" fontId="41" fillId="0" borderId="1" xfId="0" applyFont="1" applyBorder="1" applyProtection="1">
      <alignment horizontal="general" vertical="center" wrapText="1"/>
    </xf>
    <xf numFmtId="0" fontId="41" fillId="2" borderId="1" xfId="0" applyFont="1" applyFill="1" applyBorder="1" applyProtection="1">
      <alignment horizontal="left" vertical="center" wrapText="1"/>
    </xf>
    <xf numFmtId="0" fontId="55" fillId="6" borderId="1" xfId="0" applyFont="1" applyFill="1" applyBorder="1" applyProtection="1">
      <alignment horizontal="center" vertical="center" wrapText="1"/>
    </xf>
    <xf numFmtId="0" fontId="27" fillId="0" borderId="0" xfId="0" applyFont="1">
      <alignment horizontal="general" vertical="center"/>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left"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top" wrapText="1"/>
    </xf>
    <xf numFmtId="49" fontId="62" fillId="2" borderId="9" xfId="0" applyNumberFormat="1" applyFont="1" applyFill="1" applyBorder="1" applyProtection="1">
      <alignment horizontal="center" vertical="center" wrapText="1"/>
    </xf>
    <xf numFmtId="0" fontId="6" fillId="2" borderId="12" xfId="0" applyFont="1" applyFill="1" applyBorder="1" applyProtection="1">
      <alignment horizontal="general" vertical="center" wrapText="1"/>
    </xf>
    <xf numFmtId="0" fontId="8" fillId="2" borderId="14"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8" fillId="6" borderId="1" xfId="0" applyFont="1" applyFill="1" applyBorder="1" applyProtection="1">
      <alignment horizontal="center" vertical="center"/>
    </xf>
    <xf numFmtId="0" fontId="28" fillId="0" borderId="0" xfId="0" applyFont="1">
      <alignment horizontal="general" vertical="center"/>
    </xf>
    <xf numFmtId="0" fontId="45" fillId="0" borderId="1" xfId="0" applyFont="1" applyBorder="1" applyProtection="1">
      <alignment horizontal="general" vertical="center" wrapText="1"/>
    </xf>
    <xf numFmtId="0" fontId="45" fillId="2" borderId="1" xfId="0" applyFont="1" applyFill="1" applyBorder="1" applyProtection="1">
      <alignment horizontal="center" vertical="center" wrapText="1"/>
    </xf>
    <xf numFmtId="0" fontId="45" fillId="5" borderId="1" xfId="0" applyFont="1" applyFill="1" applyBorder="1" applyProtection="1">
      <alignment horizontal="center" vertical="center" wrapText="1"/>
    </xf>
    <xf numFmtId="0" fontId="45" fillId="6" borderId="1" xfId="0" applyFont="1" applyFill="1" applyBorder="1" applyProtection="1">
      <alignment horizontal="center" vertical="center" wrapText="1"/>
    </xf>
    <xf numFmtId="0" fontId="63" fillId="0" borderId="1" xfId="0" applyFont="1" applyBorder="1" applyProtection="1">
      <alignment horizontal="center" vertical="center" wrapText="1"/>
    </xf>
    <xf numFmtId="0" fontId="28" fillId="0" borderId="0" xfId="0" applyFont="1">
      <alignment horizontal="general" vertical="center"/>
    </xf>
    <xf numFmtId="14" fontId="45" fillId="2" borderId="10" xfId="0" applyNumberFormat="1" applyFont="1" applyFill="1" applyBorder="1" applyProtection="1">
      <alignment horizontal="center" vertical="center" wrapText="1"/>
    </xf>
    <xf numFmtId="9" fontId="64" fillId="2" borderId="3" xfId="0" applyNumberFormat="1" applyFont="1" applyFill="1" applyBorder="1" applyProtection="1">
      <alignment horizontal="center" vertical="center" wrapText="1"/>
    </xf>
    <xf numFmtId="0" fontId="45" fillId="2" borderId="12" xfId="0" applyFont="1" applyFill="1" applyBorder="1" applyProtection="1">
      <alignment horizontal="general" vertical="center" wrapText="1"/>
    </xf>
    <xf numFmtId="49" fontId="4" fillId="3" borderId="1" xfId="0" applyNumberFormat="1" applyFont="1" applyFill="1" applyBorder="1" applyProtection="1">
      <alignment horizontal="left" vertical="center"/>
    </xf>
    <xf numFmtId="0" fontId="8" fillId="6" borderId="1" xfId="0" applyFont="1" applyFill="1" applyBorder="1" applyProtection="1">
      <alignment horizontal="center" vertical="center" wrapText="1"/>
    </xf>
    <xf numFmtId="0" fontId="8" fillId="2" borderId="11" xfId="0" applyFont="1" applyFill="1" applyBorder="1" applyProtection="1">
      <alignment horizontal="center" vertical="center" wrapText="1"/>
    </xf>
    <xf numFmtId="0" fontId="8" fillId="5" borderId="25" xfId="0" applyFont="1" applyFill="1" applyBorder="1" applyProtection="1">
      <alignment horizontal="center" vertical="center" wrapText="1"/>
    </xf>
    <xf numFmtId="0" fontId="8" fillId="5" borderId="1" xfId="0" applyFont="1" applyFill="1" applyBorder="1" applyProtection="1">
      <alignment horizontal="center" vertical="center" wrapText="1"/>
    </xf>
    <xf numFmtId="0" fontId="6" fillId="2" borderId="11" xfId="0" applyFont="1" applyFill="1" applyBorder="1" applyProtection="1">
      <alignment horizontal="center" vertical="center" wrapText="1"/>
    </xf>
    <xf numFmtId="0" fontId="8" fillId="2" borderId="3" xfId="0" applyFont="1" applyFill="1" applyBorder="1" applyProtection="1">
      <alignment horizontal="center" vertical="center" wrapText="1"/>
    </xf>
    <xf numFmtId="9" fontId="65" fillId="2" borderId="3" xfId="0" applyNumberFormat="1" applyFont="1" applyFill="1" applyBorder="1" applyProtection="1">
      <alignment horizontal="center" vertical="center" wrapText="1"/>
    </xf>
    <xf numFmtId="0" fontId="8" fillId="6" borderId="9" xfId="0" applyFont="1" applyFill="1" applyBorder="1" applyProtection="1">
      <alignment horizontal="center" vertical="center"/>
    </xf>
    <xf numFmtId="0" fontId="6" fillId="2" borderId="22" xfId="0" applyFont="1" applyFill="1" applyBorder="1" applyProtection="1">
      <alignment horizontal="general" vertical="center"/>
    </xf>
    <xf numFmtId="0" fontId="6" fillId="5" borderId="22" xfId="0" applyFont="1" applyFill="1" applyBorder="1" applyProtection="1">
      <alignment horizontal="general" vertical="center"/>
    </xf>
    <xf numFmtId="0" fontId="6" fillId="2" borderId="22" xfId="0" applyFont="1" applyFill="1" applyBorder="1" applyProtection="1">
      <alignment horizontal="center" vertical="center"/>
    </xf>
    <xf numFmtId="14" fontId="6" fillId="2" borderId="26" xfId="0" applyNumberFormat="1" applyFont="1" applyFill="1" applyBorder="1" applyProtection="1">
      <alignment horizontal="center" vertical="center"/>
    </xf>
    <xf numFmtId="0" fontId="6" fillId="2" borderId="10" xfId="0" applyFont="1" applyFill="1" applyBorder="1" applyProtection="1">
      <alignment horizontal="center" vertical="center"/>
    </xf>
    <xf numFmtId="9" fontId="65" fillId="2" borderId="10" xfId="0" applyNumberFormat="1" applyFont="1" applyFill="1" applyBorder="1" applyProtection="1">
      <alignment horizontal="center" vertical="center" wrapText="1"/>
    </xf>
    <xf numFmtId="0" fontId="6" fillId="2" borderId="9" xfId="0" applyFont="1" applyFill="1" applyBorder="1" applyProtection="1">
      <alignment horizontal="general" vertical="center"/>
    </xf>
    <xf numFmtId="14" fontId="6" fillId="2" borderId="10" xfId="0" applyNumberFormat="1" applyFont="1" applyFill="1" applyBorder="1" applyProtection="1">
      <alignment horizontal="center" vertical="center"/>
    </xf>
    <xf numFmtId="9" fontId="65" fillId="2" borderId="9" xfId="0" applyNumberFormat="1" applyFont="1" applyFill="1" applyBorder="1" applyProtection="1">
      <alignment horizontal="center" vertical="center" wrapText="1"/>
    </xf>
    <xf numFmtId="0" fontId="8" fillId="6" borderId="22" xfId="0" applyFont="1" applyFill="1" applyBorder="1" applyProtection="1">
      <alignment horizontal="center" vertical="center"/>
    </xf>
    <xf numFmtId="0" fontId="6" fillId="0" borderId="1" xfId="0" applyFont="1" applyBorder="1" applyProtection="1">
      <alignment horizontal="left" vertical="center"/>
    </xf>
    <xf numFmtId="0" fontId="66" fillId="0" borderId="0" xfId="0" applyFont="1">
      <alignment horizontal="general" vertical="top" wrapText="1"/>
    </xf>
    <xf numFmtId="170" fontId="66" fillId="0" borderId="0" xfId="0" applyNumberFormat="1" applyFont="1">
      <alignment horizontal="general" vertical="top" wrapText="1"/>
    </xf>
    <xf numFmtId="171" fontId="66" fillId="0" borderId="0" xfId="0" applyNumberFormat="1" applyFont="1">
      <alignment horizontal="general" vertical="top" wrapText="1"/>
    </xf>
    <xf numFmtId="169" fontId="66" fillId="0" borderId="0" xfId="0" applyNumberFormat="1" applyFont="1">
      <alignment horizontal="general" vertical="top" wrapText="1"/>
    </xf>
    <xf numFmtId="169" fontId="66" fillId="0" borderId="0" xfId="0" applyNumberFormat="1" applyFont="1">
      <alignment horizontal="center" vertical="top" wrapText="1"/>
    </xf>
    <xf numFmtId="0" fontId="66" fillId="0" borderId="0" xfId="0" applyFont="1">
      <alignment horizontal="center" vertical="top" wrapText="1"/>
    </xf>
    <xf numFmtId="0" fontId="67" fillId="0" borderId="0" xfId="0" applyFont="1">
      <alignment horizontal="left" vertical="top" wrapText="1"/>
    </xf>
    <xf numFmtId="0" fontId="66" fillId="0" borderId="0" xfId="0" applyFont="1">
      <alignment horizontal="left" vertical="top" wrapText="1"/>
    </xf>
    <xf numFmtId="0" fontId="43" fillId="0" borderId="0" xfId="0" applyFont="1">
      <alignment horizontal="center" vertical="center" wrapText="1"/>
    </xf>
    <xf numFmtId="170" fontId="68" fillId="0" borderId="1" xfId="0" applyNumberFormat="1" applyFont="1" applyBorder="1" applyProtection="1">
      <alignment horizontal="left" vertical="center" wrapText="1"/>
    </xf>
    <xf numFmtId="170" fontId="18" fillId="0" borderId="1" xfId="0" applyNumberFormat="1" applyFont="1" applyBorder="1" applyProtection="1">
      <alignment horizontal="center" vertical="center" wrapText="1"/>
    </xf>
    <xf numFmtId="0" fontId="18" fillId="0" borderId="6" xfId="0" applyFont="1" applyBorder="1" applyProtection="1">
      <alignment horizontal="center" vertical="center" wrapText="1"/>
    </xf>
    <xf numFmtId="170" fontId="18" fillId="2" borderId="1" xfId="0" applyNumberFormat="1" applyFont="1" applyFill="1" applyBorder="1" applyProtection="1">
      <alignment horizontal="general" vertical="center" wrapText="1"/>
    </xf>
    <xf numFmtId="170" fontId="18" fillId="0" borderId="1" xfId="0" applyNumberFormat="1" applyFont="1" applyBorder="1" applyProtection="1">
      <alignment horizontal="center" vertical="top" wrapText="1"/>
    </xf>
    <xf numFmtId="171" fontId="18" fillId="0" borderId="1" xfId="0" applyNumberFormat="1" applyFont="1" applyBorder="1" applyProtection="1">
      <alignment horizontal="center" vertical="center" wrapText="1"/>
    </xf>
    <xf numFmtId="170" fontId="18" fillId="0" borderId="1" xfId="0" applyNumberFormat="1" applyFont="1" applyBorder="1" applyProtection="1">
      <alignment horizontal="general" vertical="top" wrapText="1"/>
    </xf>
    <xf numFmtId="169" fontId="18" fillId="0" borderId="1" xfId="0" applyNumberFormat="1" applyFont="1" applyBorder="1" applyProtection="1">
      <alignment horizontal="center" vertical="center" wrapText="1"/>
    </xf>
    <xf numFmtId="0" fontId="13" fillId="0" borderId="1" xfId="0" applyFont="1" applyBorder="1" applyProtection="1">
      <alignment horizontal="center" vertical="center" wrapText="1"/>
    </xf>
    <xf numFmtId="0" fontId="62" fillId="0" borderId="1" xfId="0" applyFont="1" applyBorder="1" applyProtection="1">
      <alignment horizontal="center" vertical="center"/>
    </xf>
    <xf numFmtId="0" fontId="62" fillId="0" borderId="11" xfId="0" applyFont="1" applyBorder="1" applyProtection="1">
      <alignment horizontal="left" vertical="center"/>
    </xf>
    <xf numFmtId="169" fontId="18" fillId="4" borderId="1" xfId="0" applyNumberFormat="1" applyFont="1" applyFill="1" applyBorder="1" applyProtection="1">
      <alignment horizontal="center" vertical="center" wrapText="1"/>
    </xf>
    <xf numFmtId="49" fontId="13" fillId="4" borderId="5" xfId="0" applyNumberFormat="1" applyFont="1" applyFill="1" applyBorder="1" applyProtection="1">
      <alignment horizontal="left" vertical="center" wrapText="1"/>
    </xf>
    <xf numFmtId="170" fontId="18" fillId="0" borderId="1" xfId="0" applyNumberFormat="1" applyFont="1" applyBorder="1" applyProtection="1">
      <alignment horizontal="left" vertical="center" wrapText="1"/>
    </xf>
    <xf numFmtId="170" fontId="69" fillId="0" borderId="1" xfId="0" applyNumberFormat="1" applyFont="1" applyBorder="1" applyProtection="1">
      <alignment horizontal="center" vertical="center" wrapText="1"/>
    </xf>
    <xf numFmtId="169" fontId="18" fillId="0" borderId="1" xfId="0" applyNumberFormat="1" applyFont="1" applyBorder="1" applyProtection="1">
      <alignment horizontal="general" vertical="top" wrapText="1"/>
    </xf>
    <xf numFmtId="0" fontId="18" fillId="0" borderId="1" xfId="0" applyFont="1" applyBorder="1" applyProtection="1">
      <alignment horizontal="left" vertical="center" wrapText="1"/>
    </xf>
    <xf numFmtId="0" fontId="18" fillId="0" borderId="11" xfId="0" applyFont="1" applyBorder="1" applyProtection="1">
      <alignment horizontal="left" vertical="center" wrapText="1"/>
    </xf>
    <xf numFmtId="0" fontId="18" fillId="0" borderId="11" xfId="0" applyFont="1" applyBorder="1" applyProtection="1">
      <alignment horizontal="left" vertical="center"/>
    </xf>
    <xf numFmtId="0" fontId="18" fillId="0" borderId="1" xfId="0" applyFont="1" applyBorder="1" applyProtection="1">
      <alignment horizontal="center" vertical="center" wrapText="1"/>
    </xf>
    <xf numFmtId="170" fontId="69" fillId="2" borderId="1" xfId="0" applyNumberFormat="1" applyFont="1" applyFill="1" applyBorder="1" applyProtection="1">
      <alignment horizontal="center" vertical="center" wrapText="1"/>
    </xf>
    <xf numFmtId="49" fontId="18" fillId="0" borderId="11" xfId="0" applyNumberFormat="1" applyFont="1" applyBorder="1" applyProtection="1">
      <alignment horizontal="left" vertical="center" wrapText="1"/>
    </xf>
    <xf numFmtId="49" fontId="13" fillId="4" borderId="11" xfId="0" applyNumberFormat="1" applyFont="1" applyFill="1" applyBorder="1" applyProtection="1">
      <alignment horizontal="left" vertical="center" wrapText="1"/>
    </xf>
    <xf numFmtId="170" fontId="18" fillId="2" borderId="1" xfId="0" applyNumberFormat="1" applyFont="1" applyFill="1" applyBorder="1" applyProtection="1">
      <alignment horizontal="left" vertical="center" wrapText="1"/>
    </xf>
    <xf numFmtId="169" fontId="18" fillId="0" borderId="1" xfId="0" applyNumberFormat="1" applyFont="1" applyBorder="1" applyProtection="1">
      <alignment horizontal="left" vertical="center" wrapText="1"/>
    </xf>
    <xf numFmtId="0" fontId="13" fillId="0" borderId="11" xfId="0" applyFont="1" applyBorder="1" applyProtection="1">
      <alignment horizontal="left" vertical="center"/>
    </xf>
    <xf numFmtId="0" fontId="13" fillId="0" borderId="11" xfId="0" applyFont="1" applyBorder="1" applyProtection="1">
      <alignment horizontal="center" vertical="center"/>
    </xf>
    <xf numFmtId="169" fontId="18" fillId="2" borderId="1" xfId="0" applyNumberFormat="1" applyFont="1" applyFill="1" applyBorder="1" applyProtection="1">
      <alignment horizontal="center" vertical="center" wrapText="1"/>
    </xf>
    <xf numFmtId="170" fontId="18" fillId="2" borderId="1" xfId="0" applyNumberFormat="1" applyFont="1" applyFill="1" applyBorder="1" applyProtection="1">
      <alignment horizontal="center" vertical="center" wrapText="1"/>
    </xf>
    <xf numFmtId="49" fontId="13" fillId="2" borderId="11" xfId="0" applyNumberFormat="1" applyFont="1" applyFill="1" applyBorder="1" applyProtection="1">
      <alignment horizontal="left" vertical="center" wrapText="1"/>
    </xf>
    <xf numFmtId="49" fontId="18" fillId="4" borderId="11" xfId="0" applyNumberFormat="1" applyFont="1" applyFill="1" applyBorder="1" applyProtection="1">
      <alignment horizontal="left" vertical="center" wrapText="1"/>
    </xf>
    <xf numFmtId="170" fontId="70" fillId="2" borderId="1" xfId="0" applyNumberFormat="1" applyFont="1" applyFill="1" applyBorder="1" applyProtection="1">
      <alignment horizontal="left" vertical="center" wrapText="1"/>
    </xf>
    <xf numFmtId="0" fontId="18" fillId="0" borderId="1" xfId="0" applyFont="1" applyBorder="1" applyProtection="1">
      <alignment horizontal="general" vertical="center" wrapText="1"/>
    </xf>
    <xf numFmtId="0" fontId="18" fillId="0" borderId="11" xfId="0" applyFont="1" applyBorder="1" applyProtection="1">
      <alignment horizontal="general" vertical="center" wrapText="1"/>
    </xf>
    <xf numFmtId="170" fontId="71" fillId="0" borderId="1" xfId="0" applyNumberFormat="1" applyFont="1" applyBorder="1" applyProtection="1">
      <alignment horizontal="left" vertical="center" wrapText="1"/>
    </xf>
    <xf numFmtId="3" fontId="18" fillId="2" borderId="1" xfId="0" applyNumberFormat="1" applyFont="1" applyFill="1" applyBorder="1" applyProtection="1">
      <alignment horizontal="center" vertical="center" wrapText="1"/>
    </xf>
    <xf numFmtId="171" fontId="18" fillId="2" borderId="1" xfId="0" applyNumberFormat="1" applyFont="1" applyFill="1" applyBorder="1" applyProtection="1">
      <alignment horizontal="center" vertical="center" wrapText="1"/>
    </xf>
    <xf numFmtId="0" fontId="18" fillId="2" borderId="1" xfId="0" applyFont="1" applyFill="1" applyBorder="1" applyProtection="1">
      <alignment horizontal="center" vertical="center" wrapText="1"/>
    </xf>
    <xf numFmtId="0" fontId="18" fillId="2" borderId="1" xfId="0" applyFont="1" applyFill="1" applyBorder="1" applyProtection="1">
      <alignment horizontal="left" vertical="center" wrapText="1"/>
    </xf>
    <xf numFmtId="0" fontId="18" fillId="2" borderId="11" xfId="0" applyFont="1" applyFill="1" applyBorder="1" applyProtection="1">
      <alignment horizontal="left" vertical="center"/>
    </xf>
    <xf numFmtId="3" fontId="18" fillId="0" borderId="1" xfId="0" applyNumberFormat="1" applyFont="1" applyBorder="1" applyProtection="1">
      <alignment horizontal="center" vertical="center" wrapText="1"/>
    </xf>
    <xf numFmtId="0" fontId="13" fillId="0" borderId="25" xfId="0" applyFont="1" applyBorder="1" applyProtection="1">
      <alignment horizontal="left" vertical="center"/>
    </xf>
    <xf numFmtId="0" fontId="18" fillId="0" borderId="0" xfId="0" applyFont="1">
      <alignment horizontal="left" vertical="center" wrapText="1"/>
    </xf>
    <xf numFmtId="0" fontId="13" fillId="0" borderId="1" xfId="0" applyFont="1" applyBorder="1" applyProtection="1">
      <alignment horizontal="center" vertical="center"/>
    </xf>
    <xf numFmtId="0" fontId="13" fillId="0" borderId="1" xfId="0" applyFont="1" applyBorder="1" applyProtection="1">
      <alignment horizontal="left" vertical="top" wrapText="1"/>
    </xf>
    <xf numFmtId="49" fontId="62" fillId="0" borderId="11" xfId="0" applyNumberFormat="1" applyFont="1" applyBorder="1" applyProtection="1">
      <alignment horizontal="left" vertical="center" wrapText="1"/>
    </xf>
    <xf numFmtId="0" fontId="18" fillId="0" borderId="1" xfId="0" applyFont="1" applyBorder="1" applyProtection="1">
      <alignment horizontal="left" vertical="center"/>
    </xf>
    <xf numFmtId="49" fontId="13" fillId="4" borderId="22" xfId="0" applyNumberFormat="1" applyFont="1" applyFill="1" applyBorder="1" applyProtection="1">
      <alignment horizontal="left" vertical="center" wrapText="1"/>
    </xf>
    <xf numFmtId="0" fontId="18" fillId="0" borderId="11" xfId="0" applyFont="1" applyBorder="1" applyProtection="1">
      <alignment horizontal="general" vertical="bottom" wrapText="1"/>
    </xf>
    <xf numFmtId="0" fontId="18" fillId="0" borderId="1" xfId="0" applyFont="1" applyBorder="1" applyProtection="1">
      <alignment horizontal="center" vertical="bottom" wrapText="1"/>
    </xf>
    <xf numFmtId="0" fontId="72" fillId="0" borderId="1" xfId="0" applyFont="1" applyBorder="1" applyProtection="1">
      <alignment horizontal="general" vertical="center" wrapText="1"/>
    </xf>
    <xf numFmtId="0" fontId="62" fillId="0" borderId="11" xfId="0" applyFont="1" applyBorder="1" applyProtection="1">
      <alignment horizontal="center" vertical="center"/>
    </xf>
    <xf numFmtId="49" fontId="62" fillId="0" borderId="1" xfId="0" applyNumberFormat="1" applyFont="1" applyBorder="1" applyProtection="1">
      <alignment horizontal="left" vertical="center" wrapText="1"/>
    </xf>
    <xf numFmtId="0" fontId="18" fillId="0" borderId="22" xfId="0" applyFont="1" applyBorder="1" applyProtection="1">
      <alignment horizontal="general" vertical="bottom" wrapText="1"/>
    </xf>
    <xf numFmtId="0" fontId="18" fillId="0" borderId="1" xfId="0" applyFont="1" applyBorder="1" applyProtection="1">
      <alignment horizontal="general" vertical="bottom" wrapText="1"/>
    </xf>
    <xf numFmtId="0" fontId="13" fillId="0" borderId="5" xfId="0" applyFont="1" applyBorder="1" applyProtection="1">
      <alignment horizontal="general" vertical="bottom"/>
    </xf>
    <xf numFmtId="0" fontId="26" fillId="0" borderId="1" xfId="0" applyFont="1" applyBorder="1" applyProtection="1">
      <alignment horizontal="left" vertical="top"/>
    </xf>
    <xf numFmtId="0" fontId="18" fillId="0" borderId="3" xfId="0" applyFont="1" applyBorder="1" applyProtection="1">
      <alignment horizontal="center" vertical="bottom" wrapText="1"/>
    </xf>
    <xf numFmtId="170" fontId="73" fillId="2" borderId="1" xfId="0" applyNumberFormat="1" applyFont="1" applyFill="1" applyBorder="1" applyProtection="1">
      <alignment horizontal="left" vertical="center" wrapText="1"/>
    </xf>
    <xf numFmtId="171" fontId="13" fillId="0" borderId="1" xfId="0" applyNumberFormat="1" applyFont="1" applyBorder="1" applyProtection="1">
      <alignment horizontal="center" vertical="center" wrapText="1"/>
    </xf>
    <xf numFmtId="169" fontId="13" fillId="0" borderId="1" xfId="0" applyNumberFormat="1" applyFont="1" applyBorder="1" applyProtection="1">
      <alignment horizontal="center" vertical="center" wrapText="1"/>
    </xf>
    <xf numFmtId="170" fontId="13" fillId="0" borderId="1" xfId="0" applyNumberFormat="1" applyFont="1" applyBorder="1" applyProtection="1">
      <alignment horizontal="center" vertical="center" wrapText="1"/>
    </xf>
    <xf numFmtId="0" fontId="13" fillId="0" borderId="11" xfId="0" applyFont="1" applyBorder="1" applyProtection="1">
      <alignment horizontal="left" vertical="center" wrapText="1"/>
    </xf>
    <xf numFmtId="169" fontId="18" fillId="4" borderId="9" xfId="0" applyNumberFormat="1" applyFont="1" applyFill="1" applyBorder="1" applyProtection="1">
      <alignment horizontal="center" vertical="center" wrapText="1"/>
    </xf>
    <xf numFmtId="0" fontId="69" fillId="0" borderId="1" xfId="0" applyFont="1" applyBorder="1" applyProtection="1">
      <alignment horizontal="center" vertical="center" wrapText="1"/>
    </xf>
    <xf numFmtId="0" fontId="18" fillId="0" borderId="2" xfId="0" applyFont="1" applyBorder="1" applyProtection="1">
      <alignment horizontal="center" vertical="center" wrapText="1"/>
    </xf>
    <xf numFmtId="0" fontId="18" fillId="0" borderId="2" xfId="0" applyFont="1" applyBorder="1" applyProtection="1">
      <alignment horizontal="left" vertical="center" wrapText="1"/>
    </xf>
    <xf numFmtId="0" fontId="62" fillId="0" borderId="5" xfId="0" applyFont="1" applyBorder="1" applyProtection="1">
      <alignment horizontal="left" vertical="center"/>
    </xf>
    <xf numFmtId="0" fontId="18" fillId="0" borderId="1" xfId="0" applyFont="1" applyBorder="1" applyProtection="1">
      <alignment horizontal="center" vertical="top" wrapText="1"/>
    </xf>
    <xf numFmtId="0" fontId="18" fillId="0" borderId="1" xfId="0" applyFont="1" applyBorder="1" applyProtection="1">
      <alignment horizontal="general" vertical="top" wrapText="1"/>
    </xf>
    <xf numFmtId="0" fontId="74" fillId="0" borderId="1" xfId="0" applyFont="1" applyBorder="1" applyProtection="1">
      <alignment horizontal="center" vertical="center" wrapText="1"/>
    </xf>
    <xf numFmtId="0" fontId="18" fillId="0" borderId="1" xfId="0" applyFont="1" applyBorder="1" applyProtection="1">
      <alignment horizontal="left" vertical="top" wrapText="1"/>
    </xf>
    <xf numFmtId="170" fontId="18" fillId="0" borderId="3" xfId="0" applyNumberFormat="1" applyFont="1" applyBorder="1" applyProtection="1">
      <alignment horizontal="center" vertical="center" wrapText="1"/>
    </xf>
    <xf numFmtId="169" fontId="13" fillId="0" borderId="11" xfId="0" applyNumberFormat="1" applyFont="1" applyBorder="1" applyProtection="1">
      <alignment horizontal="center" vertical="center" wrapText="1"/>
    </xf>
    <xf numFmtId="0" fontId="13" fillId="0" borderId="3" xfId="0" applyFont="1" applyBorder="1" applyProtection="1">
      <alignment horizontal="center" vertical="center"/>
    </xf>
    <xf numFmtId="49" fontId="62" fillId="0" borderId="2" xfId="0" applyNumberFormat="1" applyFont="1" applyBorder="1" applyProtection="1">
      <alignment horizontal="center" vertical="center" wrapText="1"/>
    </xf>
    <xf numFmtId="49" fontId="62" fillId="0" borderId="5" xfId="0" applyNumberFormat="1" applyFont="1" applyBorder="1" applyProtection="1">
      <alignment horizontal="left" vertical="center" wrapText="1"/>
    </xf>
    <xf numFmtId="170" fontId="18" fillId="2" borderId="0" xfId="0" applyNumberFormat="1" applyFont="1" applyFill="1">
      <alignment horizontal="general" vertical="center" wrapText="1"/>
    </xf>
    <xf numFmtId="58" fontId="73" fillId="0" borderId="11" xfId="0" applyNumberFormat="1" applyFont="1" applyBorder="1" applyProtection="1">
      <alignment horizontal="left" vertical="center" wrapText="1"/>
    </xf>
    <xf numFmtId="169" fontId="13" fillId="0" borderId="11" xfId="0" applyNumberFormat="1" applyFont="1" applyBorder="1" applyProtection="1">
      <alignment horizontal="left" vertical="center" wrapText="1"/>
    </xf>
    <xf numFmtId="169" fontId="18" fillId="4" borderId="2" xfId="0" applyNumberFormat="1" applyFont="1" applyFill="1" applyBorder="1" applyProtection="1">
      <alignment horizontal="center" vertical="center" wrapText="1"/>
    </xf>
    <xf numFmtId="170" fontId="18" fillId="4" borderId="1" xfId="0" applyNumberFormat="1" applyFont="1" applyFill="1" applyBorder="1" applyProtection="1">
      <alignment horizontal="center" vertical="center" wrapText="1"/>
    </xf>
    <xf numFmtId="0" fontId="18" fillId="0" borderId="1" xfId="0" applyFont="1" applyBorder="1" applyProtection="1">
      <alignment horizontal="center" vertical="center"/>
    </xf>
    <xf numFmtId="170" fontId="18" fillId="0" borderId="1" xfId="0" applyNumberFormat="1" applyFont="1" applyBorder="1" applyProtection="1">
      <alignment horizontal="left" vertical="top" wrapText="1"/>
    </xf>
    <xf numFmtId="0" fontId="13" fillId="0" borderId="1" xfId="0" applyFont="1" applyBorder="1" applyProtection="1">
      <alignment horizontal="left" vertical="center"/>
    </xf>
    <xf numFmtId="0" fontId="13" fillId="0" borderId="11" xfId="0" applyFont="1" applyBorder="1" applyProtection="1">
      <alignment horizontal="general" vertical="bottom"/>
    </xf>
    <xf numFmtId="0" fontId="18" fillId="0" borderId="9" xfId="0" applyFont="1" applyBorder="1" applyProtection="1">
      <alignment horizontal="general" vertical="bottom" wrapText="1"/>
    </xf>
    <xf numFmtId="0" fontId="18" fillId="0" borderId="26" xfId="0" applyFont="1" applyBorder="1" applyProtection="1">
      <alignment horizontal="center" vertical="bottom" wrapText="1"/>
    </xf>
    <xf numFmtId="0" fontId="18" fillId="0" borderId="22" xfId="0" applyFont="1" applyBorder="1" applyProtection="1">
      <alignment horizontal="center" vertical="center" wrapText="1"/>
    </xf>
    <xf numFmtId="0" fontId="7" fillId="0" borderId="22" xfId="0" applyFont="1" applyBorder="1" applyProtection="1">
      <alignment horizontal="general" vertical="center" wrapText="1"/>
    </xf>
    <xf numFmtId="14" fontId="18" fillId="0" borderId="22" xfId="0" applyNumberFormat="1" applyFont="1" applyBorder="1" applyProtection="1">
      <alignment horizontal="center" vertical="center" wrapText="1"/>
    </xf>
    <xf numFmtId="0" fontId="13" fillId="0" borderId="22" xfId="0" applyFont="1" applyBorder="1" applyProtection="1">
      <alignment horizontal="center" vertical="center" wrapText="1"/>
    </xf>
    <xf numFmtId="0" fontId="62" fillId="0" borderId="22" xfId="0" applyFont="1" applyBorder="1" applyProtection="1">
      <alignment horizontal="center" vertical="center"/>
    </xf>
    <xf numFmtId="0" fontId="62" fillId="0" borderId="5" xfId="0" applyFont="1" applyBorder="1" applyProtection="1">
      <alignment horizontal="left" vertical="center" wrapText="1"/>
    </xf>
    <xf numFmtId="0" fontId="75" fillId="0" borderId="0" xfId="0" applyFont="1">
      <alignment horizontal="general" vertical="center"/>
    </xf>
    <xf numFmtId="0" fontId="75" fillId="0" borderId="0" xfId="0" applyFont="1">
      <alignment horizontal="general" vertical="top" wrapText="1"/>
    </xf>
    <xf numFmtId="0" fontId="68" fillId="0" borderId="9" xfId="0" applyFont="1" applyBorder="1" applyProtection="1">
      <alignment horizontal="general" vertical="top" wrapText="1"/>
    </xf>
    <xf numFmtId="0" fontId="68" fillId="0" borderId="26" xfId="0" applyFont="1" applyBorder="1" applyProtection="1">
      <alignment horizontal="center" vertical="bottom" wrapText="1"/>
    </xf>
    <xf numFmtId="0" fontId="68" fillId="0" borderId="22" xfId="0" applyFont="1" applyBorder="1" applyProtection="1">
      <alignment horizontal="center" vertical="center" wrapText="1"/>
    </xf>
    <xf numFmtId="14" fontId="68" fillId="0" borderId="22" xfId="0" applyNumberFormat="1" applyFont="1" applyBorder="1" applyProtection="1">
      <alignment horizontal="center" vertical="center" wrapText="1"/>
    </xf>
    <xf numFmtId="0" fontId="73" fillId="0" borderId="22" xfId="0" applyFont="1" applyBorder="1" applyProtection="1">
      <alignment horizontal="center" vertical="center" wrapText="1"/>
    </xf>
    <xf numFmtId="0" fontId="68" fillId="0" borderId="22" xfId="0" applyFont="1" applyBorder="1" applyProtection="1">
      <alignment horizontal="general" vertical="bottom" wrapText="1"/>
    </xf>
    <xf numFmtId="0" fontId="76" fillId="0" borderId="27" xfId="0" applyFont="1" applyBorder="1" applyProtection="1">
      <alignment horizontal="left" vertical="center" wrapText="1"/>
    </xf>
    <xf numFmtId="0" fontId="13" fillId="0" borderId="22" xfId="0" applyFont="1" applyBorder="1" applyProtection="1">
      <alignment horizontal="left" vertical="center"/>
    </xf>
    <xf numFmtId="0" fontId="77" fillId="0" borderId="9" xfId="0" applyFont="1" applyBorder="1" applyProtection="1">
      <alignment horizontal="general" vertical="top" wrapText="1"/>
    </xf>
    <xf numFmtId="0" fontId="73" fillId="0" borderId="22" xfId="0" applyFont="1" applyBorder="1" applyProtection="1">
      <alignment horizontal="left" vertical="center"/>
    </xf>
    <xf numFmtId="0" fontId="77" fillId="0" borderId="26" xfId="0" applyFont="1" applyBorder="1" applyProtection="1">
      <alignment horizontal="center" vertical="bottom" wrapText="1"/>
    </xf>
    <xf numFmtId="0" fontId="77" fillId="0" borderId="22" xfId="0" applyFont="1" applyBorder="1" applyProtection="1">
      <alignment horizontal="center" vertical="center" wrapText="1"/>
    </xf>
    <xf numFmtId="14" fontId="77" fillId="0" borderId="22" xfId="0" applyNumberFormat="1" applyFont="1" applyBorder="1" applyProtection="1">
      <alignment horizontal="center" vertical="center" wrapText="1"/>
    </xf>
    <xf numFmtId="0" fontId="57" fillId="0" borderId="22" xfId="0" applyFont="1" applyBorder="1" applyProtection="1">
      <alignment horizontal="center" vertical="center" wrapText="1"/>
    </xf>
    <xf numFmtId="0" fontId="77" fillId="0" borderId="22" xfId="0" applyFont="1" applyBorder="1" applyProtection="1">
      <alignment horizontal="general" vertical="bottom" wrapText="1"/>
    </xf>
    <xf numFmtId="0" fontId="57" fillId="0" borderId="22" xfId="0" applyFont="1" applyBorder="1" applyProtection="1">
      <alignment horizontal="left" vertical="center"/>
    </xf>
    <xf numFmtId="171" fontId="13" fillId="0" borderId="2" xfId="0" applyNumberFormat="1" applyFont="1" applyBorder="1" applyProtection="1">
      <alignment horizontal="center" vertical="center" wrapText="1"/>
    </xf>
    <xf numFmtId="169" fontId="13" fillId="0" borderId="2" xfId="0" applyNumberFormat="1" applyFont="1" applyBorder="1" applyProtection="1">
      <alignment horizontal="center" vertical="center" wrapText="1"/>
    </xf>
    <xf numFmtId="49" fontId="13" fillId="0" borderId="2" xfId="0" applyNumberFormat="1" applyFont="1" applyBorder="1" applyProtection="1">
      <alignment horizontal="center" vertical="center" wrapText="1"/>
    </xf>
    <xf numFmtId="49" fontId="13" fillId="0" borderId="5" xfId="0" applyNumberFormat="1" applyFont="1" applyBorder="1" applyProtection="1">
      <alignment horizontal="left" vertical="center" wrapText="1"/>
    </xf>
    <xf numFmtId="49" fontId="13" fillId="0" borderId="1" xfId="0" applyNumberFormat="1" applyFont="1" applyBorder="1" applyProtection="1">
      <alignment horizontal="center" vertical="center" wrapText="1"/>
    </xf>
    <xf numFmtId="49" fontId="13" fillId="0" borderId="11" xfId="0" applyNumberFormat="1" applyFont="1" applyBorder="1" applyProtection="1">
      <alignment horizontal="left" vertical="center" wrapText="1"/>
    </xf>
    <xf numFmtId="0" fontId="27" fillId="0" borderId="0" xfId="0" applyFont="1">
      <alignment horizontal="general" vertical="center"/>
    </xf>
    <xf numFmtId="0" fontId="78" fillId="0" borderId="0" xfId="0" applyFont="1">
      <alignment horizontal="general" vertical="top" wrapText="1"/>
    </xf>
    <xf numFmtId="170" fontId="77" fillId="0" borderId="1" xfId="0" applyNumberFormat="1" applyFont="1" applyBorder="1" applyProtection="1">
      <alignment horizontal="left" vertical="center" wrapText="1"/>
    </xf>
    <xf numFmtId="170" fontId="77" fillId="0" borderId="1" xfId="0" applyNumberFormat="1" applyFont="1" applyBorder="1" applyProtection="1">
      <alignment horizontal="center" vertical="top" wrapText="1"/>
    </xf>
    <xf numFmtId="171" fontId="77" fillId="0" borderId="1" xfId="0" applyNumberFormat="1" applyFont="1" applyBorder="1" applyProtection="1">
      <alignment horizontal="center" vertical="center" wrapText="1"/>
    </xf>
    <xf numFmtId="14" fontId="77" fillId="0" borderId="22" xfId="0" applyNumberFormat="1" applyFont="1" applyBorder="1" applyProtection="1">
      <alignment horizontal="center" vertical="top" wrapText="1"/>
    </xf>
    <xf numFmtId="0" fontId="77" fillId="0" borderId="1" xfId="0" applyFont="1" applyBorder="1" applyProtection="1">
      <alignment horizontal="center" vertical="center" wrapText="1"/>
    </xf>
    <xf numFmtId="0" fontId="79" fillId="0" borderId="1" xfId="0" applyFont="1" applyBorder="1" applyProtection="1">
      <alignment horizontal="center" vertical="center"/>
    </xf>
    <xf numFmtId="0" fontId="79" fillId="0" borderId="11" xfId="0" applyFont="1" applyBorder="1" applyProtection="1">
      <alignment horizontal="left" vertical="center"/>
    </xf>
    <xf numFmtId="0" fontId="28" fillId="0" borderId="0" xfId="0" applyFont="1">
      <alignment horizontal="general" vertical="center"/>
    </xf>
    <xf numFmtId="170" fontId="68" fillId="0" borderId="1" xfId="0" applyNumberFormat="1" applyFont="1" applyBorder="1" applyProtection="1">
      <alignment horizontal="center" vertical="top" wrapText="1"/>
    </xf>
    <xf numFmtId="171" fontId="68" fillId="0" borderId="1" xfId="0" applyNumberFormat="1" applyFont="1" applyBorder="1" applyProtection="1">
      <alignment horizontal="center" vertical="center" wrapText="1"/>
    </xf>
    <xf numFmtId="0" fontId="68" fillId="0" borderId="1" xfId="0" applyFont="1" applyBorder="1" applyProtection="1">
      <alignment horizontal="center" vertical="center" wrapText="1"/>
    </xf>
    <xf numFmtId="0" fontId="76" fillId="0" borderId="1" xfId="0" applyFont="1" applyBorder="1" applyProtection="1">
      <alignment horizontal="center" vertical="center"/>
    </xf>
    <xf numFmtId="0" fontId="76" fillId="0" borderId="11" xfId="0" applyFont="1" applyBorder="1" applyProtection="1">
      <alignment horizontal="left" vertical="center"/>
    </xf>
    <xf numFmtId="0" fontId="18" fillId="0" borderId="9" xfId="0" applyFont="1" applyBorder="1" applyProtection="1">
      <alignment horizontal="center" vertical="center" wrapText="1"/>
    </xf>
    <xf numFmtId="0" fontId="62" fillId="0" borderId="3" xfId="0" applyFont="1" applyBorder="1" applyProtection="1">
      <alignment horizontal="center" vertical="center"/>
    </xf>
    <xf numFmtId="0" fontId="18" fillId="2" borderId="1" xfId="0" applyFont="1" applyFill="1" applyBorder="1" applyProtection="1">
      <alignment horizontal="general" vertical="center" wrapText="1"/>
    </xf>
    <xf numFmtId="0" fontId="74" fillId="0" borderId="3" xfId="0" applyFont="1" applyBorder="1" applyProtection="1">
      <alignment horizontal="center" vertical="center" wrapText="1"/>
    </xf>
    <xf numFmtId="0" fontId="13" fillId="0" borderId="22" xfId="0" applyFont="1" applyBorder="1" applyProtection="1">
      <alignment horizontal="left" vertical="center" wrapText="1"/>
    </xf>
    <xf numFmtId="0" fontId="13" fillId="0" borderId="3" xfId="0" applyFont="1" applyBorder="1" applyProtection="1">
      <alignment horizontal="center" vertical="center" wrapText="1"/>
    </xf>
    <xf numFmtId="0" fontId="77" fillId="0" borderId="1" xfId="0" applyFont="1" applyBorder="1" applyProtection="1">
      <alignment horizontal="left" vertical="top" wrapText="1"/>
    </xf>
    <xf numFmtId="170" fontId="77" fillId="0" borderId="3" xfId="0" applyNumberFormat="1" applyFont="1" applyBorder="1" applyProtection="1">
      <alignment horizontal="center" vertical="center" wrapText="1"/>
    </xf>
    <xf numFmtId="14" fontId="77" fillId="0" borderId="1" xfId="0" applyNumberFormat="1" applyFont="1" applyBorder="1" applyProtection="1">
      <alignment horizontal="center" vertical="center" wrapText="1"/>
    </xf>
    <xf numFmtId="0" fontId="77" fillId="0" borderId="8" xfId="0" applyFont="1" applyBorder="1" applyProtection="1">
      <alignment horizontal="center" vertical="center" wrapText="1"/>
    </xf>
    <xf numFmtId="0" fontId="77" fillId="0" borderId="1" xfId="0" applyFont="1" applyBorder="1" applyProtection="1">
      <alignment horizontal="left" vertical="center" wrapText="1"/>
    </xf>
    <xf numFmtId="0" fontId="57" fillId="0" borderId="11" xfId="0" applyFont="1" applyBorder="1" applyProtection="1">
      <alignment horizontal="left" vertical="center"/>
    </xf>
    <xf numFmtId="0" fontId="73" fillId="0" borderId="22" xfId="0" applyFont="1" applyBorder="1" applyProtection="1">
      <alignment horizontal="center" vertical="center"/>
    </xf>
    <xf numFmtId="0" fontId="76" fillId="0" borderId="27" xfId="0" applyFont="1" applyBorder="1" applyProtection="1">
      <alignment horizontal="center" vertical="center" wrapText="1"/>
    </xf>
    <xf numFmtId="0" fontId="68" fillId="0" borderId="22" xfId="0" applyFont="1" applyBorder="1" applyProtection="1">
      <alignment horizontal="center" vertical="bottom" wrapText="1"/>
    </xf>
    <xf numFmtId="170" fontId="69" fillId="0" borderId="2" xfId="0" applyNumberFormat="1" applyFont="1" applyBorder="1" applyProtection="1">
      <alignment horizontal="center" vertical="center" wrapText="1"/>
    </xf>
    <xf numFmtId="170" fontId="18" fillId="0" borderId="2" xfId="0" applyNumberFormat="1" applyFont="1" applyBorder="1" applyProtection="1">
      <alignment horizontal="center" vertical="top" wrapText="1"/>
    </xf>
    <xf numFmtId="171" fontId="18" fillId="0" borderId="2" xfId="0" applyNumberFormat="1" applyFont="1" applyBorder="1" applyProtection="1">
      <alignment horizontal="center" vertical="center" wrapText="1"/>
    </xf>
    <xf numFmtId="170" fontId="18" fillId="0" borderId="2" xfId="0" applyNumberFormat="1" applyFont="1" applyBorder="1" applyProtection="1">
      <alignment horizontal="general" vertical="top" wrapText="1"/>
    </xf>
    <xf numFmtId="0" fontId="28" fillId="0" borderId="0" xfId="0" applyFont="1">
      <alignment horizontal="general" vertical="center"/>
    </xf>
    <xf numFmtId="0" fontId="75" fillId="0" borderId="0" xfId="0" applyFont="1">
      <alignment horizontal="general" vertical="top" wrapText="1"/>
    </xf>
    <xf numFmtId="0" fontId="68" fillId="2" borderId="1" xfId="0" applyFont="1" applyFill="1" applyBorder="1" applyProtection="1">
      <alignment horizontal="general" vertical="center" wrapText="1"/>
    </xf>
    <xf numFmtId="0" fontId="68" fillId="0" borderId="1" xfId="0" applyFont="1" applyBorder="1" applyProtection="1">
      <alignment horizontal="center" vertical="center" wrapText="1"/>
    </xf>
    <xf numFmtId="14" fontId="68" fillId="0" borderId="1" xfId="0" applyNumberFormat="1" applyFont="1" applyBorder="1" applyProtection="1">
      <alignment horizontal="center" vertical="center" wrapText="1"/>
    </xf>
    <xf numFmtId="0" fontId="80" fillId="0" borderId="1" xfId="0" applyFont="1" applyBorder="1" applyProtection="1">
      <alignment horizontal="center" vertical="center" wrapText="1"/>
    </xf>
    <xf numFmtId="0" fontId="73" fillId="0" borderId="11" xfId="0" applyFont="1" applyBorder="1" applyProtection="1">
      <alignment horizontal="left" vertical="center"/>
    </xf>
    <xf numFmtId="0" fontId="13" fillId="0" borderId="2" xfId="0" applyFont="1" applyBorder="1" applyProtection="1">
      <alignment horizontal="center" vertical="center" wrapText="1"/>
    </xf>
    <xf numFmtId="170" fontId="77" fillId="2" borderId="1" xfId="0" applyNumberFormat="1" applyFont="1" applyFill="1" applyBorder="1" applyProtection="1">
      <alignment horizontal="general" vertical="center" wrapText="1"/>
    </xf>
    <xf numFmtId="170" fontId="77" fillId="0" borderId="2" xfId="0" applyNumberFormat="1" applyFont="1" applyBorder="1" applyProtection="1">
      <alignment horizontal="center" vertical="center" wrapText="1"/>
    </xf>
    <xf numFmtId="171" fontId="77" fillId="0" borderId="2" xfId="0" applyNumberFormat="1" applyFont="1" applyBorder="1" applyProtection="1">
      <alignment horizontal="center" vertical="center" wrapText="1"/>
    </xf>
    <xf numFmtId="14" fontId="77" fillId="0" borderId="2" xfId="0" applyNumberFormat="1" applyFont="1" applyBorder="1" applyProtection="1">
      <alignment horizontal="center" vertical="center" wrapText="1"/>
    </xf>
    <xf numFmtId="169" fontId="77" fillId="0" borderId="2" xfId="0" applyNumberFormat="1" applyFont="1" applyBorder="1" applyProtection="1">
      <alignment horizontal="center" vertical="center" wrapText="1"/>
    </xf>
    <xf numFmtId="0" fontId="57" fillId="0" borderId="2" xfId="0" applyFont="1" applyBorder="1" applyProtection="1">
      <alignment horizontal="center" vertical="center" wrapText="1"/>
    </xf>
    <xf numFmtId="0" fontId="68" fillId="0" borderId="22" xfId="0" applyFont="1" applyBorder="1" applyProtection="1">
      <alignment horizontal="left" vertical="center" wrapText="1"/>
    </xf>
    <xf numFmtId="170" fontId="69" fillId="4" borderId="1" xfId="0" applyNumberFormat="1" applyFont="1" applyFill="1" applyBorder="1" applyProtection="1">
      <alignment horizontal="center" vertical="center" wrapText="1"/>
    </xf>
    <xf numFmtId="170" fontId="18" fillId="4" borderId="1" xfId="0" applyNumberFormat="1" applyFont="1" applyFill="1" applyBorder="1" applyProtection="1">
      <alignment horizontal="center" vertical="top" wrapText="1"/>
    </xf>
    <xf numFmtId="171" fontId="18" fillId="4" borderId="1" xfId="0" applyNumberFormat="1" applyFont="1" applyFill="1" applyBorder="1" applyProtection="1">
      <alignment horizontal="center" vertical="center" wrapText="1"/>
    </xf>
    <xf numFmtId="170" fontId="18" fillId="4" borderId="1" xfId="0" applyNumberFormat="1" applyFont="1" applyFill="1" applyBorder="1" applyProtection="1">
      <alignment horizontal="general" vertical="top" wrapText="1"/>
    </xf>
    <xf numFmtId="0" fontId="13" fillId="4" borderId="1" xfId="0" applyFont="1" applyFill="1" applyBorder="1" applyProtection="1">
      <alignment horizontal="center" vertical="center" wrapText="1"/>
    </xf>
    <xf numFmtId="0" fontId="74" fillId="4" borderId="1" xfId="0" applyFont="1" applyFill="1" applyBorder="1" applyProtection="1">
      <alignment horizontal="center" vertical="center" wrapText="1"/>
    </xf>
    <xf numFmtId="169" fontId="68" fillId="0" borderId="1" xfId="0" applyNumberFormat="1" applyFont="1" applyBorder="1" applyProtection="1">
      <alignment horizontal="center" vertical="center" wrapText="1"/>
    </xf>
    <xf numFmtId="0" fontId="73" fillId="0" borderId="1" xfId="0" applyFont="1" applyBorder="1" applyProtection="1">
      <alignment horizontal="center" vertical="center" wrapText="1"/>
    </xf>
    <xf numFmtId="0" fontId="18"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77" fillId="2" borderId="22" xfId="0" applyFont="1" applyFill="1" applyBorder="1" applyProtection="1">
      <alignment horizontal="left" vertical="center" wrapText="1"/>
    </xf>
    <xf numFmtId="169" fontId="77" fillId="0" borderId="1" xfId="0" applyNumberFormat="1" applyFont="1" applyBorder="1" applyProtection="1">
      <alignment horizontal="center" vertical="center" wrapText="1"/>
    </xf>
    <xf numFmtId="0" fontId="57" fillId="0" borderId="1" xfId="0" applyFont="1" applyBorder="1" applyProtection="1">
      <alignment horizontal="center" vertical="center" wrapText="1"/>
    </xf>
    <xf numFmtId="49" fontId="77" fillId="0" borderId="11" xfId="0" applyNumberFormat="1" applyFont="1" applyBorder="1" applyProtection="1">
      <alignment horizontal="left" vertical="center" wrapText="1"/>
    </xf>
    <xf numFmtId="0" fontId="18" fillId="2" borderId="22" xfId="0" applyFont="1" applyFill="1" applyBorder="1" applyProtection="1">
      <alignment horizontal="left" vertical="center" wrapText="1"/>
    </xf>
    <xf numFmtId="0" fontId="68" fillId="2" borderId="22" xfId="0" applyFont="1" applyFill="1" applyBorder="1" applyProtection="1">
      <alignment horizontal="left" vertical="center" wrapText="1"/>
    </xf>
    <xf numFmtId="170" fontId="68" fillId="0" borderId="1" xfId="0" applyNumberFormat="1" applyFont="1" applyBorder="1" applyProtection="1">
      <alignment horizontal="center" vertical="center" wrapText="1"/>
    </xf>
    <xf numFmtId="0" fontId="68" fillId="0" borderId="1" xfId="0" applyFont="1" applyBorder="1" applyProtection="1">
      <alignment horizontal="left" vertical="center" wrapText="1"/>
    </xf>
    <xf numFmtId="0" fontId="73" fillId="0" borderId="11" xfId="0" applyFont="1" applyBorder="1" applyProtection="1">
      <alignment horizontal="left" vertical="center"/>
    </xf>
    <xf numFmtId="0" fontId="79" fillId="0" borderId="22" xfId="0" applyFont="1" applyBorder="1" applyProtection="1">
      <alignment horizontal="center" vertical="center"/>
    </xf>
    <xf numFmtId="0" fontId="79" fillId="0" borderId="22" xfId="0" applyFont="1" applyBorder="1" applyProtection="1">
      <alignment horizontal="left" vertical="center"/>
    </xf>
    <xf numFmtId="0" fontId="57" fillId="0" borderId="22" xfId="0" applyFont="1" applyBorder="1" applyProtection="1">
      <alignment horizontal="center" vertical="center"/>
    </xf>
    <xf numFmtId="0" fontId="74" fillId="0" borderId="11" xfId="0" applyFont="1" applyBorder="1" applyProtection="1">
      <alignment horizontal="left" vertical="center"/>
    </xf>
    <xf numFmtId="0" fontId="18" fillId="2" borderId="22" xfId="0" applyFont="1" applyFill="1" applyBorder="1" applyProtection="1">
      <alignment horizontal="left" vertical="top" wrapText="1"/>
    </xf>
    <xf numFmtId="0" fontId="18" fillId="0" borderId="22" xfId="0" applyFont="1" applyBorder="1" applyProtection="1">
      <alignment horizontal="left" vertical="center"/>
    </xf>
    <xf numFmtId="14" fontId="69" fillId="0" borderId="22" xfId="0" applyNumberFormat="1" applyFont="1" applyBorder="1" applyProtection="1">
      <alignment horizontal="center" vertical="center" wrapText="1"/>
    </xf>
    <xf numFmtId="169" fontId="69" fillId="0" borderId="1" xfId="0" applyNumberFormat="1" applyFont="1" applyBorder="1" applyProtection="1">
      <alignment horizontal="center" vertical="center" wrapText="1"/>
    </xf>
    <xf numFmtId="0" fontId="81" fillId="0" borderId="1" xfId="0" applyFont="1" applyBorder="1" applyProtection="1">
      <alignment horizontal="center" vertical="center"/>
    </xf>
    <xf numFmtId="0" fontId="82" fillId="0" borderId="11" xfId="0" applyFont="1" applyBorder="1" applyProtection="1">
      <alignment horizontal="left" vertical="center"/>
    </xf>
    <xf numFmtId="0" fontId="69" fillId="2" borderId="22" xfId="0" applyFont="1" applyFill="1" applyBorder="1" applyProtection="1">
      <alignment horizontal="left" vertical="center" wrapText="1"/>
    </xf>
    <xf numFmtId="0" fontId="69" fillId="0" borderId="22" xfId="0" applyFont="1" applyBorder="1" applyProtection="1">
      <alignment horizontal="center" vertical="center" wrapText="1"/>
    </xf>
    <xf numFmtId="0" fontId="69" fillId="0" borderId="22" xfId="0" applyFont="1" applyBorder="1" applyProtection="1">
      <alignment horizontal="left" vertical="center" wrapText="1"/>
    </xf>
    <xf numFmtId="0" fontId="83" fillId="0" borderId="22" xfId="0" applyFont="1" applyBorder="1" applyProtection="1">
      <alignment horizontal="left" vertical="center" wrapText="1"/>
    </xf>
    <xf numFmtId="0" fontId="69" fillId="0" borderId="22" xfId="0" applyFont="1" applyBorder="1" applyProtection="1">
      <alignment horizontal="left" vertical="top" wrapText="1"/>
    </xf>
    <xf numFmtId="0" fontId="83" fillId="0" borderId="22" xfId="0" applyFont="1" applyBorder="1" applyProtection="1">
      <alignment horizontal="center" vertical="center" wrapText="1"/>
    </xf>
    <xf numFmtId="0" fontId="69" fillId="0" borderId="22" xfId="0" applyFont="1" applyBorder="1" applyProtection="1">
      <alignment horizontal="left" vertical="center"/>
    </xf>
    <xf numFmtId="0" fontId="83" fillId="0" borderId="22" xfId="0" applyFont="1" applyBorder="1" applyProtection="1">
      <alignment horizontal="left" vertical="center"/>
    </xf>
    <xf numFmtId="0" fontId="69" fillId="2" borderId="22" xfId="0" applyFont="1" applyFill="1" applyBorder="1" applyProtection="1">
      <alignment horizontal="center" vertical="center" wrapText="1"/>
    </xf>
    <xf numFmtId="0" fontId="83" fillId="2" borderId="22" xfId="0" applyFont="1" applyFill="1" applyBorder="1" applyProtection="1">
      <alignment horizontal="left" vertical="center" wrapText="1"/>
    </xf>
    <xf numFmtId="0" fontId="71" fillId="2" borderId="22" xfId="0" applyFont="1" applyFill="1" applyBorder="1" applyProtection="1">
      <alignment horizontal="left" vertical="center" wrapText="1"/>
    </xf>
    <xf numFmtId="0" fontId="84" fillId="0" borderId="22" xfId="0" applyFont="1" applyBorder="1" applyProtection="1">
      <alignment horizontal="center" vertical="center" wrapText="1"/>
    </xf>
    <xf numFmtId="14" fontId="84" fillId="0" borderId="22" xfId="0" applyNumberFormat="1" applyFont="1" applyBorder="1" applyProtection="1">
      <alignment horizontal="center" vertical="center" wrapText="1"/>
    </xf>
    <xf numFmtId="0" fontId="85" fillId="0" borderId="22" xfId="0" applyFont="1" applyBorder="1" applyProtection="1">
      <alignment horizontal="center" vertical="center" wrapText="1"/>
    </xf>
    <xf numFmtId="0" fontId="84" fillId="0" borderId="22" xfId="0" applyFont="1" applyBorder="1" applyProtection="1">
      <alignment horizontal="general" vertical="center" wrapText="1"/>
    </xf>
    <xf numFmtId="0" fontId="85" fillId="0" borderId="22" xfId="0" applyFont="1" applyBorder="1" applyProtection="1">
      <alignment horizontal="general" vertical="center" wrapText="1"/>
    </xf>
    <xf numFmtId="0" fontId="86" fillId="0" borderId="22" xfId="0" applyFont="1" applyBorder="1" applyProtection="1">
      <alignment horizontal="left" vertical="center" wrapText="1"/>
    </xf>
    <xf numFmtId="0" fontId="84" fillId="2" borderId="22" xfId="0" applyFont="1" applyFill="1" applyBorder="1" applyProtection="1">
      <alignment horizontal="left" vertical="center" wrapText="1"/>
    </xf>
    <xf numFmtId="0" fontId="84" fillId="2" borderId="22" xfId="0" applyFont="1" applyFill="1" applyBorder="1" applyProtection="1">
      <alignment horizontal="center" vertical="center" wrapText="1"/>
    </xf>
    <xf numFmtId="14" fontId="84" fillId="2" borderId="22" xfId="0" applyNumberFormat="1" applyFont="1" applyFill="1" applyBorder="1" applyProtection="1">
      <alignment horizontal="center" vertical="center" wrapText="1"/>
    </xf>
    <xf numFmtId="0" fontId="85" fillId="2" borderId="22" xfId="0" applyFont="1" applyFill="1" applyBorder="1" applyProtection="1">
      <alignment horizontal="center" vertical="center" wrapText="1"/>
    </xf>
    <xf numFmtId="0" fontId="85" fillId="2" borderId="22" xfId="0" applyFont="1" applyFill="1" applyBorder="1" applyProtection="1">
      <alignment horizontal="left" vertical="center"/>
    </xf>
    <xf numFmtId="0" fontId="57" fillId="0" borderId="22" xfId="0" applyFont="1" applyBorder="1" applyProtection="1">
      <alignment horizontal="left" vertical="center" wrapText="1"/>
    </xf>
    <xf numFmtId="170" fontId="77" fillId="0" borderId="1" xfId="0" applyNumberFormat="1" applyFont="1" applyBorder="1" applyProtection="1">
      <alignment horizontal="center" vertical="center" wrapText="1"/>
    </xf>
    <xf numFmtId="3" fontId="77" fillId="0" borderId="1" xfId="0" applyNumberFormat="1" applyFont="1" applyBorder="1" applyProtection="1">
      <alignment horizontal="center" vertical="center" wrapText="1"/>
    </xf>
    <xf numFmtId="0" fontId="77" fillId="0" borderId="11" xfId="0" applyFont="1" applyBorder="1" applyProtection="1">
      <alignment horizontal="left" vertical="center"/>
    </xf>
    <xf numFmtId="0" fontId="77" fillId="0" borderId="11" xfId="0" applyFont="1" applyBorder="1" applyProtection="1">
      <alignment horizontal="left" vertical="center" wrapText="1"/>
    </xf>
    <xf numFmtId="0" fontId="57" fillId="0" borderId="25" xfId="0" applyFont="1" applyBorder="1" applyProtection="1">
      <alignment horizontal="left" vertical="center"/>
    </xf>
    <xf numFmtId="3" fontId="68" fillId="0" borderId="1" xfId="0" applyNumberFormat="1" applyFont="1" applyBorder="1" applyProtection="1">
      <alignment horizontal="center" vertical="center" wrapText="1"/>
    </xf>
    <xf numFmtId="0" fontId="68" fillId="0" borderId="0" xfId="0" applyFont="1">
      <alignment horizontal="left" vertical="center" wrapText="1"/>
    </xf>
    <xf numFmtId="0" fontId="73" fillId="2" borderId="11" xfId="0" applyFont="1" applyFill="1" applyBorder="1" applyProtection="1">
      <alignment horizontal="left" vertical="center"/>
    </xf>
    <xf numFmtId="0" fontId="77" fillId="0" borderId="22" xfId="0" applyFont="1" applyBorder="1" applyProtection="1">
      <alignment horizontal="center" vertical="top" wrapText="1"/>
    </xf>
    <xf numFmtId="0" fontId="57" fillId="2" borderId="22" xfId="0" applyFont="1" applyFill="1" applyBorder="1" applyProtection="1">
      <alignment horizontal="left" vertical="center"/>
    </xf>
    <xf numFmtId="0" fontId="87" fillId="0" borderId="22" xfId="0" applyFont="1" applyBorder="1" applyProtection="1">
      <alignment horizontal="left" vertical="center" wrapText="1"/>
    </xf>
    <xf numFmtId="0" fontId="87" fillId="0" borderId="22" xfId="0" applyFont="1" applyBorder="1" applyProtection="1">
      <alignment horizontal="center" vertical="center" wrapText="1"/>
    </xf>
    <xf numFmtId="14" fontId="87" fillId="0" borderId="22" xfId="0" applyNumberFormat="1" applyFont="1" applyBorder="1" applyProtection="1">
      <alignment horizontal="center" vertical="center" wrapText="1"/>
    </xf>
    <xf numFmtId="0" fontId="87" fillId="0" borderId="22" xfId="0" applyFont="1" applyBorder="1" applyProtection="1">
      <alignment horizontal="left" vertical="center"/>
    </xf>
    <xf numFmtId="0" fontId="88" fillId="0" borderId="22" xfId="0" applyFont="1" applyBorder="1" applyProtection="1">
      <alignment horizontal="left" vertical="center"/>
    </xf>
    <xf numFmtId="0" fontId="88" fillId="0" borderId="22" xfId="0" applyFont="1" applyBorder="1" applyProtection="1">
      <alignment horizontal="center" vertical="center" wrapText="1"/>
    </xf>
    <xf numFmtId="0" fontId="89" fillId="0" borderId="11" xfId="0" applyFont="1" applyBorder="1" applyProtection="1">
      <alignment horizontal="left" vertical="center"/>
    </xf>
    <xf numFmtId="171" fontId="77" fillId="0" borderId="1" xfId="0" applyNumberFormat="1" applyFont="1" applyBorder="1" applyProtection="1">
      <alignment horizontal="left" vertical="center" wrapText="1"/>
    </xf>
    <xf numFmtId="169" fontId="77" fillId="4" borderId="1" xfId="0" applyNumberFormat="1" applyFont="1" applyFill="1" applyBorder="1" applyProtection="1">
      <alignment horizontal="center" vertical="center" wrapText="1"/>
    </xf>
    <xf numFmtId="49" fontId="77" fillId="4" borderId="11" xfId="0" applyNumberFormat="1" applyFont="1" applyFill="1" applyBorder="1" applyProtection="1">
      <alignment horizontal="left" vertical="center" wrapText="1"/>
    </xf>
    <xf numFmtId="170" fontId="90" fillId="0" borderId="1" xfId="0" applyNumberFormat="1" applyFont="1" applyBorder="1" applyProtection="1">
      <alignment horizontal="left" vertical="center" wrapText="1"/>
    </xf>
    <xf numFmtId="0" fontId="77" fillId="0" borderId="1" xfId="0" applyFont="1" applyBorder="1" applyProtection="1">
      <alignment horizontal="center" vertical="center"/>
    </xf>
    <xf numFmtId="0" fontId="57" fillId="0" borderId="1" xfId="0" applyFont="1" applyBorder="1" applyProtection="1">
      <alignment horizontal="center" vertical="center"/>
    </xf>
    <xf numFmtId="0" fontId="77" fillId="0" borderId="1" xfId="0" applyFont="1" applyBorder="1" applyProtection="1">
      <alignment horizontal="left" vertical="center"/>
    </xf>
    <xf numFmtId="170" fontId="57" fillId="0" borderId="1" xfId="0" applyNumberFormat="1" applyFont="1" applyBorder="1" applyProtection="1">
      <alignment horizontal="left" vertical="top" wrapText="1"/>
    </xf>
    <xf numFmtId="170" fontId="77" fillId="0" borderId="1" xfId="0" applyNumberFormat="1" applyFont="1" applyBorder="1" applyProtection="1">
      <alignment horizontal="left" vertical="top" wrapText="1"/>
    </xf>
    <xf numFmtId="49" fontId="57" fillId="4" borderId="11" xfId="0" applyNumberFormat="1" applyFont="1" applyFill="1" applyBorder="1" applyProtection="1">
      <alignment horizontal="left" vertical="center" wrapText="1"/>
    </xf>
    <xf numFmtId="0" fontId="66" fillId="0" borderId="0" xfId="0" applyFont="1">
      <alignment horizontal="center" vertical="center" wrapText="1"/>
    </xf>
    <xf numFmtId="49" fontId="18" fillId="4" borderId="1" xfId="0" applyNumberFormat="1" applyFont="1" applyFill="1" applyBorder="1" applyProtection="1">
      <alignment horizontal="left" vertical="center" wrapText="1"/>
    </xf>
    <xf numFmtId="49" fontId="18" fillId="4" borderId="1" xfId="0" applyNumberFormat="1" applyFont="1" applyFill="1" applyBorder="1" applyProtection="1">
      <alignment horizontal="center" vertical="center" wrapText="1"/>
    </xf>
    <xf numFmtId="0" fontId="91" fillId="2" borderId="22" xfId="0" applyFont="1" applyFill="1" applyBorder="1" applyProtection="1">
      <alignment horizontal="general" vertical="center" wrapText="1"/>
    </xf>
    <xf numFmtId="0" fontId="74" fillId="0" borderId="1" xfId="0" applyFont="1" applyBorder="1" applyProtection="1">
      <alignment horizontal="center" vertical="center"/>
    </xf>
    <xf numFmtId="0" fontId="74" fillId="0" borderId="1" xfId="0" applyFont="1" applyBorder="1" applyProtection="1">
      <alignment horizontal="left" vertical="center" wrapText="1"/>
    </xf>
    <xf numFmtId="0" fontId="75" fillId="0" borderId="0" xfId="0" applyFont="1">
      <alignment horizontal="center" vertical="center" wrapText="1"/>
    </xf>
    <xf numFmtId="0" fontId="92" fillId="2" borderId="22" xfId="0" applyFont="1" applyFill="1" applyBorder="1" applyProtection="1">
      <alignment horizontal="general" vertical="center" wrapText="1"/>
    </xf>
    <xf numFmtId="14" fontId="92" fillId="0" borderId="22" xfId="0" applyNumberFormat="1" applyFont="1" applyBorder="1" applyProtection="1">
      <alignment horizontal="center" vertical="center" wrapText="1"/>
    </xf>
    <xf numFmtId="0" fontId="68" fillId="0" borderId="1" xfId="0" applyFont="1" applyBorder="1" applyProtection="1">
      <alignment horizontal="center" vertical="center"/>
    </xf>
    <xf numFmtId="0" fontId="80" fillId="0" borderId="1" xfId="0" applyFont="1" applyBorder="1" applyProtection="1">
      <alignment horizontal="center" vertical="center"/>
    </xf>
    <xf numFmtId="49" fontId="80" fillId="0" borderId="1" xfId="0" applyNumberFormat="1" applyFont="1" applyBorder="1" applyProtection="1">
      <alignment horizontal="left" vertical="center" wrapText="1"/>
    </xf>
    <xf numFmtId="0" fontId="75" fillId="0" borderId="0" xfId="0" applyFont="1">
      <alignment horizontal="center" vertical="center" wrapText="1"/>
    </xf>
    <xf numFmtId="0" fontId="92" fillId="2" borderId="22" xfId="0" applyFont="1" applyFill="1" applyBorder="1" applyProtection="1">
      <alignment horizontal="general" vertical="center" wrapText="1"/>
    </xf>
    <xf numFmtId="171" fontId="68" fillId="0" borderId="1" xfId="0" applyNumberFormat="1" applyFont="1" applyBorder="1" applyProtection="1">
      <alignment horizontal="center" vertical="center" wrapText="1"/>
    </xf>
    <xf numFmtId="169" fontId="68" fillId="0" borderId="1" xfId="0" applyNumberFormat="1" applyFont="1" applyBorder="1" applyProtection="1">
      <alignment horizontal="center" vertical="center" wrapText="1"/>
    </xf>
    <xf numFmtId="0" fontId="68" fillId="0" borderId="1" xfId="0" applyFont="1" applyBorder="1" applyProtection="1">
      <alignment horizontal="center" vertical="center"/>
    </xf>
    <xf numFmtId="0" fontId="68" fillId="0" borderId="1" xfId="0" applyFont="1" applyBorder="1" applyProtection="1">
      <alignment horizontal="left" vertical="center"/>
    </xf>
    <xf numFmtId="0" fontId="68" fillId="0" borderId="1" xfId="0" applyFont="1" applyBorder="1" applyProtection="1">
      <alignment horizontal="left" vertical="center"/>
    </xf>
    <xf numFmtId="0" fontId="68" fillId="0" borderId="1" xfId="0" applyFont="1" applyBorder="1" applyProtection="1">
      <alignment horizontal="left" vertical="center" wrapText="1"/>
    </xf>
    <xf numFmtId="170" fontId="18" fillId="4" borderId="1" xfId="0" applyNumberFormat="1" applyFont="1" applyFill="1" applyBorder="1" applyProtection="1">
      <alignment horizontal="left" vertical="center" wrapText="1"/>
    </xf>
    <xf numFmtId="170" fontId="68" fillId="2" borderId="1" xfId="0" applyNumberFormat="1" applyFont="1" applyFill="1" applyBorder="1" applyProtection="1">
      <alignment horizontal="center" vertical="center" wrapText="1"/>
    </xf>
    <xf numFmtId="170" fontId="68" fillId="2" borderId="1" xfId="0" applyNumberFormat="1" applyFont="1" applyFill="1" applyBorder="1" applyProtection="1">
      <alignment horizontal="left" vertical="center" wrapText="1"/>
    </xf>
    <xf numFmtId="49" fontId="73" fillId="0" borderId="1" xfId="0" applyNumberFormat="1" applyFont="1" applyBorder="1" applyProtection="1">
      <alignment horizontal="left" vertical="center" wrapText="1"/>
    </xf>
    <xf numFmtId="49" fontId="68" fillId="0" borderId="1" xfId="0" applyNumberFormat="1" applyFont="1" applyBorder="1" applyProtection="1">
      <alignment horizontal="left" vertical="center" wrapText="1"/>
    </xf>
    <xf numFmtId="0" fontId="68" fillId="0" borderId="1" xfId="0" applyFont="1" applyBorder="1" applyProtection="1">
      <alignment horizontal="left" vertical="top" wrapText="1"/>
    </xf>
    <xf numFmtId="170" fontId="68" fillId="4" borderId="1" xfId="0" applyNumberFormat="1" applyFont="1" applyFill="1" applyBorder="1" applyProtection="1">
      <alignment horizontal="center" vertical="center" wrapText="1"/>
    </xf>
    <xf numFmtId="170" fontId="68" fillId="4" borderId="1" xfId="0" applyNumberFormat="1" applyFont="1" applyFill="1" applyBorder="1" applyProtection="1">
      <alignment horizontal="left" vertical="center" wrapText="1"/>
    </xf>
    <xf numFmtId="49" fontId="68" fillId="0" borderId="1" xfId="0" applyNumberFormat="1" applyFont="1" applyBorder="1" applyProtection="1">
      <alignment horizontal="center" vertical="center" wrapText="1"/>
    </xf>
    <xf numFmtId="49" fontId="68" fillId="2" borderId="1" xfId="0" applyNumberFormat="1" applyFont="1" applyFill="1" applyBorder="1" applyProtection="1">
      <alignment horizontal="center" vertical="center" wrapText="1"/>
    </xf>
    <xf numFmtId="49" fontId="80" fillId="2" borderId="1" xfId="0" applyNumberFormat="1" applyFont="1" applyFill="1" applyBorder="1" applyProtection="1">
      <alignment horizontal="left" vertical="center" wrapText="1"/>
    </xf>
    <xf numFmtId="49" fontId="68" fillId="2" borderId="1" xfId="0" applyNumberFormat="1" applyFont="1" applyFill="1" applyBorder="1" applyProtection="1">
      <alignment horizontal="left" vertical="center" wrapText="1"/>
    </xf>
    <xf numFmtId="169" fontId="68" fillId="4" borderId="1" xfId="0" applyNumberFormat="1" applyFont="1" applyFill="1" applyBorder="1" applyProtection="1">
      <alignment horizontal="center" vertical="center" wrapText="1"/>
    </xf>
    <xf numFmtId="49" fontId="68" fillId="4" borderId="1" xfId="0" applyNumberFormat="1" applyFont="1" applyFill="1" applyBorder="1" applyProtection="1">
      <alignment horizontal="left" vertical="center" wrapText="1"/>
    </xf>
    <xf numFmtId="49" fontId="18" fillId="0" borderId="1" xfId="0" applyNumberFormat="1" applyFont="1" applyBorder="1" applyProtection="1">
      <alignment horizontal="left" vertical="center" wrapText="1"/>
    </xf>
    <xf numFmtId="49" fontId="18" fillId="0" borderId="1" xfId="0" applyNumberFormat="1" applyFont="1" applyBorder="1" applyProtection="1">
      <alignment horizontal="center" vertical="center" wrapText="1"/>
    </xf>
    <xf numFmtId="49" fontId="74" fillId="0" borderId="1" xfId="0" applyNumberFormat="1" applyFont="1" applyBorder="1" applyProtection="1">
      <alignment horizontal="left" vertical="center" wrapText="1"/>
    </xf>
    <xf numFmtId="169" fontId="80" fillId="0" borderId="1" xfId="0" applyNumberFormat="1" applyFont="1" applyBorder="1" applyProtection="1">
      <alignment horizontal="center" vertical="center" wrapText="1"/>
    </xf>
    <xf numFmtId="0" fontId="80" fillId="0" borderId="1" xfId="0" applyFont="1" applyBorder="1" applyProtection="1">
      <alignment horizontal="left" vertical="center" wrapText="1"/>
    </xf>
    <xf numFmtId="14" fontId="68" fillId="0" borderId="1" xfId="0" applyNumberFormat="1" applyFont="1" applyBorder="1" applyProtection="1">
      <alignment horizontal="center" vertical="center" wrapText="1"/>
    </xf>
    <xf numFmtId="169" fontId="80" fillId="0" borderId="1" xfId="0" applyNumberFormat="1" applyFont="1" applyBorder="1" applyProtection="1">
      <alignment horizontal="left" vertical="center" wrapText="1"/>
    </xf>
    <xf numFmtId="169" fontId="68" fillId="0" borderId="1" xfId="0" applyNumberFormat="1" applyFont="1" applyBorder="1" applyProtection="1">
      <alignment horizontal="left" vertical="center" wrapText="1"/>
    </xf>
    <xf numFmtId="0" fontId="9" fillId="0" borderId="0" xfId="0" applyFont="1">
      <alignment horizontal="general" vertical="center"/>
    </xf>
    <xf numFmtId="169" fontId="73" fillId="4" borderId="1" xfId="0" applyNumberFormat="1" applyFont="1" applyFill="1" applyBorder="1" applyProtection="1">
      <alignment horizontal="left" vertical="center" wrapText="1"/>
    </xf>
    <xf numFmtId="0" fontId="18" fillId="4" borderId="1" xfId="0" applyFont="1" applyFill="1" applyBorder="1" applyProtection="1">
      <alignment horizontal="center" vertical="center" wrapText="1"/>
    </xf>
    <xf numFmtId="0" fontId="89" fillId="2" borderId="5" xfId="0" applyFont="1" applyFill="1" applyBorder="1" applyProtection="1">
      <alignment horizontal="left" vertical="center"/>
    </xf>
    <xf numFmtId="0" fontId="62" fillId="2" borderId="5" xfId="0" applyFont="1" applyFill="1" applyBorder="1" applyProtection="1">
      <alignment horizontal="left" vertical="center"/>
    </xf>
    <xf numFmtId="0" fontId="6" fillId="0" borderId="1" xfId="0" applyFont="1" applyBorder="1" applyProtection="1">
      <alignment horizontal="center" vertical="center"/>
    </xf>
    <xf numFmtId="0" fontId="6" fillId="0" borderId="2" xfId="0" applyFont="1" applyBorder="1" applyProtection="1">
      <alignment horizontal="center" vertical="center"/>
    </xf>
    <xf numFmtId="170" fontId="18" fillId="0" borderId="1" xfId="0" applyNumberFormat="1" applyFont="1" applyBorder="1" applyProtection="1">
      <alignment horizontal="left" vertical="center" wrapText="1"/>
    </xf>
    <xf numFmtId="49" fontId="4" fillId="3" borderId="1" xfId="0" applyNumberFormat="1" applyFont="1" applyFill="1" applyBorder="1" applyProtection="1">
      <alignment horizontal="center" vertical="center"/>
    </xf>
    <xf numFmtId="169" fontId="18" fillId="4" borderId="1" xfId="0" applyNumberFormat="1" applyFont="1" applyFill="1" applyBorder="1" applyProtection="1">
      <alignment horizontal="center" vertical="top" wrapText="1"/>
    </xf>
    <xf numFmtId="169" fontId="18" fillId="0" borderId="1" xfId="0" applyNumberFormat="1" applyFont="1" applyBorder="1" applyProtection="1">
      <alignment horizontal="center" vertical="top" wrapText="1"/>
    </xf>
    <xf numFmtId="169" fontId="68" fillId="4" borderId="1" xfId="0" applyNumberFormat="1" applyFont="1" applyFill="1" applyBorder="1" applyProtection="1">
      <alignment horizontal="center" vertical="top" wrapText="1"/>
    </xf>
    <xf numFmtId="170" fontId="68" fillId="4" borderId="1" xfId="0" applyNumberFormat="1" applyFont="1" applyFill="1" applyBorder="1" applyProtection="1">
      <alignment horizontal="center" vertical="top" wrapText="1"/>
    </xf>
    <xf numFmtId="169" fontId="77" fillId="4" borderId="1" xfId="0" applyNumberFormat="1" applyFont="1" applyFill="1" applyBorder="1" applyProtection="1">
      <alignment horizontal="center" vertical="top" wrapText="1"/>
    </xf>
    <xf numFmtId="14" fontId="18" fillId="0" borderId="22" xfId="0" applyNumberFormat="1" applyFont="1" applyBorder="1" applyProtection="1">
      <alignment horizontal="center" vertical="top" wrapText="1"/>
    </xf>
    <xf numFmtId="169" fontId="77" fillId="0" borderId="1" xfId="0" applyNumberFormat="1" applyFont="1" applyBorder="1" applyProtection="1">
      <alignment horizontal="center" vertical="top" wrapText="1"/>
    </xf>
    <xf numFmtId="169" fontId="18" fillId="0" borderId="2" xfId="0" applyNumberFormat="1" applyFont="1" applyBorder="1" applyProtection="1">
      <alignment horizontal="center" vertical="top" wrapText="1"/>
    </xf>
    <xf numFmtId="14" fontId="18" fillId="0" borderId="1" xfId="0" applyNumberFormat="1" applyFont="1" applyBorder="1" applyProtection="1">
      <alignment horizontal="center" vertical="top" wrapText="1"/>
    </xf>
    <xf numFmtId="170" fontId="18" fillId="4" borderId="2" xfId="0" applyNumberFormat="1" applyFont="1" applyFill="1" applyBorder="1" applyProtection="1">
      <alignment horizontal="center" vertical="top" wrapText="1"/>
    </xf>
    <xf numFmtId="14" fontId="18" fillId="0" borderId="9" xfId="0" applyNumberFormat="1" applyFont="1" applyBorder="1" applyProtection="1">
      <alignment horizontal="center" vertical="top" wrapText="1"/>
    </xf>
    <xf numFmtId="14" fontId="18" fillId="0" borderId="2" xfId="0" applyNumberFormat="1" applyFont="1" applyBorder="1" applyProtection="1">
      <alignment horizontal="center" vertical="top" wrapText="1"/>
    </xf>
    <xf numFmtId="0" fontId="26" fillId="0" borderId="1" xfId="0" applyFont="1" applyBorder="1" applyProtection="1">
      <alignment horizontal="general" vertical="center" wrapText="1"/>
    </xf>
    <xf numFmtId="0" fontId="26" fillId="0" borderId="1" xfId="0" applyFont="1" applyBorder="1" applyProtection="1">
      <alignment horizontal="general" vertical="top" wrapText="1"/>
    </xf>
    <xf numFmtId="0" fontId="18" fillId="2" borderId="22" xfId="0" applyFont="1" applyFill="1" applyBorder="1" applyProtection="1">
      <alignment horizontal="left" vertical="center" wrapText="1"/>
    </xf>
    <xf numFmtId="0" fontId="18" fillId="2" borderId="22" xfId="0" applyFont="1" applyFill="1" applyBorder="1" applyProtection="1">
      <alignment horizontal="left" vertical="center" wrapText="1"/>
    </xf>
    <xf numFmtId="0" fontId="18"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18" fillId="0" borderId="22" xfId="0" applyFont="1" applyBorder="1" applyProtection="1">
      <alignment horizontal="left" vertical="center" wrapText="1"/>
    </xf>
    <xf numFmtId="170" fontId="18" fillId="0" borderId="1" xfId="0" applyNumberFormat="1" applyFont="1" applyBorder="1" applyProtection="1">
      <alignment horizontal="left" vertical="center" wrapText="1"/>
    </xf>
    <xf numFmtId="170" fontId="18" fillId="0" borderId="1" xfId="0" applyNumberFormat="1" applyFont="1" applyBorder="1" applyProtection="1">
      <alignment horizontal="left" vertical="top" wrapText="1"/>
    </xf>
    <xf numFmtId="49" fontId="4" fillId="3" borderId="3" xfId="0" applyNumberFormat="1" applyFont="1" applyFill="1" applyBorder="1" applyProtection="1">
      <alignment horizontal="center" vertical="center"/>
    </xf>
    <xf numFmtId="0" fontId="27" fillId="0" borderId="0" xfId="0" applyFont="1">
      <alignment horizontal="general" vertical="center"/>
    </xf>
    <xf numFmtId="0" fontId="57" fillId="0" borderId="22" xfId="0" applyFont="1" applyBorder="1" applyProtection="1">
      <alignment horizontal="general" vertical="bottom"/>
    </xf>
    <xf numFmtId="0" fontId="77" fillId="0" borderId="22" xfId="0" applyFont="1" applyBorder="1" applyProtection="1">
      <alignment horizontal="general" vertical="bottom" wrapText="1"/>
    </xf>
    <xf numFmtId="0" fontId="57" fillId="0" borderId="22" xfId="0" applyFont="1" applyBorder="1" applyProtection="1">
      <alignment horizontal="center" vertical="center" wrapText="1"/>
    </xf>
    <xf numFmtId="14" fontId="77" fillId="0" borderId="22" xfId="0" applyNumberFormat="1" applyFont="1" applyBorder="1" applyProtection="1">
      <alignment horizontal="center" vertical="top" wrapText="1"/>
    </xf>
    <xf numFmtId="0" fontId="77" fillId="0" borderId="22" xfId="0" applyFont="1" applyBorder="1" applyProtection="1">
      <alignment horizontal="center" vertical="center" wrapText="1"/>
    </xf>
    <xf numFmtId="0" fontId="77" fillId="0" borderId="26" xfId="0" applyFont="1" applyBorder="1" applyProtection="1">
      <alignment horizontal="center" vertical="bottom" wrapText="1"/>
    </xf>
    <xf numFmtId="0" fontId="78" fillId="0" borderId="0" xfId="0" applyFont="1">
      <alignment horizontal="general" vertical="top" wrapText="1"/>
    </xf>
    <xf numFmtId="0" fontId="18" fillId="0" borderId="22" xfId="0" applyFont="1" applyBorder="1" applyProtection="1">
      <alignment horizontal="left" vertical="top" wrapText="1"/>
    </xf>
    <xf numFmtId="0" fontId="30" fillId="0" borderId="25" xfId="0" applyFont="1" applyBorder="1" applyProtection="1">
      <alignment horizontal="center" vertical="center" wrapText="1"/>
    </xf>
    <xf numFmtId="0" fontId="30" fillId="0" borderId="11" xfId="0" applyFont="1" applyBorder="1" applyProtection="1">
      <alignment horizontal="center" vertical="center" wrapText="1"/>
    </xf>
    <xf numFmtId="0" fontId="30" fillId="0" borderId="3" xfId="0" applyFont="1" applyBorder="1" applyProtection="1">
      <alignment horizontal="center" vertical="center" wrapText="1"/>
    </xf>
    <xf numFmtId="0" fontId="37" fillId="4" borderId="3" xfId="0" applyFont="1" applyFill="1" applyBorder="1" applyProtection="1">
      <alignment horizontal="center" vertical="center" wrapText="1"/>
    </xf>
    <xf numFmtId="0" fontId="37" fillId="4" borderId="11" xfId="0" applyFont="1" applyFill="1" applyBorder="1" applyProtection="1">
      <alignment horizontal="center" vertical="center" wrapText="1"/>
    </xf>
    <xf numFmtId="49" fontId="30" fillId="2" borderId="1" xfId="0" applyNumberFormat="1" applyFont="1" applyFill="1" applyBorder="1" applyProtection="1">
      <alignment horizontal="center" vertical="center" wrapText="1"/>
    </xf>
    <xf numFmtId="49" fontId="30" fillId="4" borderId="1" xfId="0" applyNumberFormat="1" applyFont="1" applyFill="1" applyBorder="1" applyProtection="1">
      <alignment horizontal="center" vertical="center" wrapText="1"/>
    </xf>
    <xf numFmtId="0" fontId="30" fillId="0" borderId="3" xfId="0" applyFont="1" applyBorder="1" applyProtection="1">
      <alignment horizontal="left" vertical="center" wrapText="1"/>
    </xf>
    <xf numFmtId="0" fontId="30" fillId="0" borderId="25" xfId="0" applyFont="1" applyBorder="1" applyProtection="1">
      <alignment horizontal="left" vertical="center" wrapText="1"/>
    </xf>
    <xf numFmtId="0" fontId="93" fillId="12" borderId="3" xfId="0" applyFont="1" applyFill="1" applyBorder="1" applyProtection="1">
      <alignment horizontal="left" vertical="center" wrapText="1"/>
    </xf>
    <xf numFmtId="0" fontId="93" fillId="12" borderId="25" xfId="0" applyFont="1" applyFill="1" applyBorder="1" applyProtection="1">
      <alignment horizontal="left" vertical="center" wrapText="1"/>
    </xf>
    <xf numFmtId="0" fontId="93" fillId="9" borderId="1" xfId="0" applyFont="1" applyFill="1" applyBorder="1" applyProtection="1">
      <alignment horizontal="center" vertical="center" wrapText="1"/>
    </xf>
    <xf numFmtId="0" fontId="93" fillId="0" borderId="1" xfId="0" applyFont="1" applyBorder="1" applyProtection="1">
      <alignment horizontal="center" vertical="center" wrapText="1"/>
    </xf>
    <xf numFmtId="0" fontId="30" fillId="0" borderId="1" xfId="0" applyFont="1" applyBorder="1" applyProtection="1">
      <alignment horizontal="center" vertical="center" wrapText="1"/>
    </xf>
    <xf numFmtId="0" fontId="30" fillId="0" borderId="8" xfId="0" applyFont="1" applyBorder="1" applyProtection="1">
      <alignment horizontal="center" vertical="center" wrapText="1"/>
    </xf>
    <xf numFmtId="0" fontId="35" fillId="0" borderId="4" xfId="0" applyFont="1" applyBorder="1" applyProtection="1">
      <alignment horizontal="general" vertical="center"/>
    </xf>
    <xf numFmtId="0" fontId="30" fillId="9" borderId="8" xfId="0" applyFont="1" applyFill="1" applyBorder="1" applyProtection="1">
      <alignment horizontal="center" vertical="center" wrapText="1"/>
    </xf>
    <xf numFmtId="0" fontId="35" fillId="9" borderId="4" xfId="0" applyFont="1" applyFill="1" applyBorder="1" applyProtection="1">
      <alignment horizontal="center" vertical="center"/>
    </xf>
    <xf numFmtId="0" fontId="13" fillId="9" borderId="1" xfId="0" applyFont="1" applyFill="1" applyBorder="1" applyProtection="1">
      <alignment horizontal="center" vertical="center" wrapText="1"/>
    </xf>
    <xf numFmtId="0" fontId="35" fillId="9" borderId="3" xfId="0" applyFont="1" applyFill="1" applyBorder="1" applyProtection="1">
      <alignment horizontal="center" vertical="center"/>
    </xf>
    <xf numFmtId="0" fontId="30" fillId="0" borderId="2" xfId="0" applyFont="1" applyBorder="1" applyProtection="1">
      <alignment horizontal="center" vertical="center" wrapText="1"/>
    </xf>
    <xf numFmtId="0" fontId="30" fillId="0" borderId="6" xfId="0" applyFont="1" applyBorder="1" applyProtection="1">
      <alignment horizontal="center" vertical="center" wrapText="1"/>
    </xf>
    <xf numFmtId="0" fontId="13" fillId="9" borderId="1" xfId="0" applyFont="1" applyFill="1" applyBorder="1" applyProtection="1">
      <alignment horizontal="center" vertical="bottom"/>
    </xf>
    <xf numFmtId="0" fontId="30" fillId="9" borderId="1" xfId="0" applyFont="1" applyFill="1" applyBorder="1" applyProtection="1">
      <alignment horizontal="center" vertical="bottom"/>
    </xf>
    <xf numFmtId="0" fontId="30" fillId="9" borderId="3" xfId="0" applyFont="1" applyFill="1" applyBorder="1" applyProtection="1">
      <alignment horizontal="left" vertical="center" wrapText="1"/>
    </xf>
    <xf numFmtId="0" fontId="30" fillId="9" borderId="11" xfId="0" applyFont="1" applyFill="1" applyBorder="1" applyProtection="1">
      <alignment horizontal="left" vertical="center" wrapText="1"/>
    </xf>
    <xf numFmtId="0" fontId="13" fillId="13" borderId="2" xfId="0" applyFont="1" applyFill="1" applyBorder="1" applyProtection="1">
      <alignment horizontal="left" vertical="center" wrapText="1"/>
    </xf>
    <xf numFmtId="0" fontId="13" fillId="13" borderId="6" xfId="0" applyFont="1" applyFill="1" applyBorder="1" applyProtection="1">
      <alignment horizontal="left" vertical="center" wrapText="1"/>
    </xf>
    <xf numFmtId="0" fontId="13" fillId="13" borderId="9" xfId="0" applyFont="1" applyFill="1" applyBorder="1" applyProtection="1">
      <alignment horizontal="left" vertical="center" wrapText="1"/>
    </xf>
    <xf numFmtId="49" fontId="30" fillId="2" borderId="3" xfId="0" applyNumberFormat="1" applyFont="1" applyFill="1" applyBorder="1" applyProtection="1">
      <alignment horizontal="center" vertical="center" wrapText="1"/>
    </xf>
    <xf numFmtId="49" fontId="30" fillId="2" borderId="11" xfId="0" applyNumberFormat="1" applyFont="1" applyFill="1" applyBorder="1" applyProtection="1">
      <alignment horizontal="center" vertical="center" wrapText="1"/>
    </xf>
    <xf numFmtId="0" fontId="30" fillId="9" borderId="1" xfId="0" applyFont="1" applyFill="1" applyBorder="1" applyProtection="1">
      <alignment horizontal="center" vertical="center" wrapText="1"/>
    </xf>
    <xf numFmtId="0" fontId="30" fillId="12" borderId="3" xfId="0" applyFont="1" applyFill="1" applyBorder="1" applyProtection="1">
      <alignment horizontal="left" vertical="center" wrapText="1"/>
    </xf>
    <xf numFmtId="0" fontId="30" fillId="12" borderId="25" xfId="0" applyFont="1" applyFill="1" applyBorder="1" applyProtection="1">
      <alignment horizontal="left" vertical="center" wrapText="1"/>
    </xf>
    <xf numFmtId="0" fontId="30" fillId="9" borderId="1" xfId="0" applyFont="1" applyFill="1" applyBorder="1" applyProtection="1">
      <alignment horizontal="general" vertical="center" wrapText="1"/>
    </xf>
    <xf numFmtId="0" fontId="30" fillId="9" borderId="3" xfId="0" applyFont="1" applyFill="1" applyBorder="1" applyProtection="1">
      <alignment horizontal="general" vertical="center" wrapText="1"/>
    </xf>
    <xf numFmtId="0" fontId="30" fillId="0" borderId="9" xfId="0" applyFont="1" applyBorder="1" applyProtection="1">
      <alignment horizontal="center" vertical="center" wrapText="1"/>
    </xf>
    <xf numFmtId="0" fontId="30" fillId="0" borderId="1" xfId="0" applyFont="1" applyBorder="1" applyProtection="1">
      <alignment horizontal="center" vertical="center"/>
    </xf>
    <xf numFmtId="0" fontId="30" fillId="9" borderId="3" xfId="0" applyFont="1" applyFill="1" applyBorder="1" applyProtection="1">
      <alignment horizontal="center" vertical="center" wrapText="1"/>
    </xf>
    <xf numFmtId="0" fontId="30" fillId="9" borderId="11" xfId="0" applyFont="1" applyFill="1" applyBorder="1" applyProtection="1">
      <alignment horizontal="center" vertical="center" wrapText="1"/>
    </xf>
    <xf numFmtId="49" fontId="30" fillId="0" borderId="26" xfId="0" applyNumberFormat="1" applyFont="1" applyBorder="1" applyProtection="1">
      <alignment horizontal="center" vertical="center" wrapText="1"/>
    </xf>
    <xf numFmtId="49" fontId="30" fillId="0" borderId="22" xfId="0" applyNumberFormat="1" applyFont="1" applyBorder="1" applyProtection="1">
      <alignment horizontal="center" vertical="center" wrapText="1"/>
    </xf>
    <xf numFmtId="49" fontId="30" fillId="9" borderId="1" xfId="0" applyNumberFormat="1" applyFont="1" applyFill="1" applyBorder="1" applyProtection="1">
      <alignment horizontal="center" vertical="center" wrapText="1"/>
    </xf>
    <xf numFmtId="0" fontId="93" fillId="9" borderId="1" xfId="0" applyFont="1" applyFill="1" applyBorder="1" applyProtection="1">
      <alignment horizontal="general" vertical="center" wrapText="1"/>
    </xf>
    <xf numFmtId="0" fontId="93" fillId="9" borderId="3" xfId="0" applyFont="1" applyFill="1" applyBorder="1" applyProtection="1">
      <alignment horizontal="general" vertical="center" wrapText="1"/>
    </xf>
    <xf numFmtId="0" fontId="30" fillId="2" borderId="2" xfId="0" applyFont="1" applyFill="1" applyBorder="1" applyProtection="1">
      <alignment horizontal="left" vertical="center" wrapText="1"/>
    </xf>
    <xf numFmtId="0" fontId="30" fillId="2" borderId="6" xfId="0" applyFont="1" applyFill="1" applyBorder="1" applyProtection="1">
      <alignment horizontal="left" vertical="center" wrapText="1"/>
    </xf>
    <xf numFmtId="0" fontId="30" fillId="2" borderId="9" xfId="0" applyFont="1" applyFill="1" applyBorder="1" applyProtection="1">
      <alignment horizontal="left" vertical="center" wrapText="1"/>
    </xf>
    <xf numFmtId="0" fontId="35" fillId="0" borderId="0" xfId="0" applyFont="1">
      <alignment horizontal="center" vertical="center" wrapText="1"/>
    </xf>
    <xf numFmtId="0" fontId="30" fillId="9" borderId="8" xfId="0" applyFont="1" applyFill="1" applyBorder="1" applyProtection="1">
      <alignment horizontal="left" vertical="center" wrapText="1"/>
    </xf>
    <xf numFmtId="0" fontId="30" fillId="9" borderId="5" xfId="0" applyFont="1" applyFill="1" applyBorder="1" applyProtection="1">
      <alignment horizontal="left" vertical="center" wrapText="1"/>
    </xf>
    <xf numFmtId="0" fontId="30" fillId="9" borderId="8" xfId="0" applyFont="1" applyFill="1" applyBorder="1" applyProtection="1">
      <alignment horizontal="center" vertical="bottom"/>
    </xf>
    <xf numFmtId="0" fontId="30" fillId="9" borderId="5" xfId="0" applyFont="1" applyFill="1" applyBorder="1" applyProtection="1">
      <alignment horizontal="center" vertical="bottom"/>
    </xf>
    <xf numFmtId="0" fontId="35" fillId="9" borderId="8" xfId="0" applyFont="1" applyFill="1" applyBorder="1" applyProtection="1">
      <alignment horizontal="center" vertical="center" wrapText="1"/>
    </xf>
    <xf numFmtId="0" fontId="35" fillId="9" borderId="5" xfId="0" applyFont="1" applyFill="1" applyBorder="1" applyProtection="1">
      <alignment horizontal="center" vertical="center" wrapText="1"/>
    </xf>
    <xf numFmtId="0" fontId="30" fillId="9" borderId="25" xfId="0" applyFont="1" applyFill="1" applyBorder="1" applyProtection="1">
      <alignment horizontal="center" vertical="center" wrapText="1"/>
    </xf>
    <xf numFmtId="0" fontId="30" fillId="0" borderId="1" xfId="0" applyFont="1" applyBorder="1" applyProtection="1">
      <alignment horizontal="general" vertical="center" wrapText="1"/>
    </xf>
    <xf numFmtId="0" fontId="30" fillId="0" borderId="3" xfId="0" applyFont="1" applyBorder="1" applyProtection="1">
      <alignment horizontal="general" vertical="center" wrapText="1"/>
    </xf>
    <xf numFmtId="0" fontId="30" fillId="0" borderId="0" xfId="0" applyFont="1">
      <alignment horizontal="center" vertical="bottom"/>
    </xf>
    <xf numFmtId="49" fontId="30" fillId="0" borderId="1" xfId="0" applyNumberFormat="1" applyFont="1" applyBorder="1" applyProtection="1">
      <alignment horizontal="center" vertical="center" wrapText="1"/>
    </xf>
    <xf numFmtId="49" fontId="30" fillId="2" borderId="25" xfId="0" applyNumberFormat="1" applyFont="1" applyFill="1" applyBorder="1" applyProtection="1">
      <alignment horizontal="center" vertical="center" wrapText="1"/>
    </xf>
    <xf numFmtId="0" fontId="35" fillId="9" borderId="4" xfId="0" applyFont="1" applyFill="1" applyBorder="1" applyProtection="1">
      <alignment horizontal="general" vertical="center"/>
    </xf>
    <xf numFmtId="0" fontId="30" fillId="0" borderId="6" xfId="0" applyFont="1" applyBorder="1" applyProtection="1">
      <alignment horizontal="center" vertical="center"/>
    </xf>
    <xf numFmtId="0" fontId="30" fillId="0" borderId="5" xfId="0" applyFont="1" applyBorder="1" applyProtection="1">
      <alignment horizontal="center" vertical="center" wrapText="1"/>
    </xf>
    <xf numFmtId="49" fontId="18" fillId="7" borderId="1" xfId="0" applyNumberFormat="1" applyFont="1" applyFill="1" applyBorder="1" applyProtection="1">
      <alignment horizontal="center" vertical="center" wrapText="1"/>
    </xf>
    <xf numFmtId="0" fontId="38" fillId="4" borderId="3" xfId="0" applyFont="1" applyFill="1" applyBorder="1" applyProtection="1">
      <alignment horizontal="center" vertical="bottom"/>
    </xf>
    <xf numFmtId="0" fontId="38" fillId="4" borderId="11" xfId="0" applyFont="1" applyFill="1" applyBorder="1" applyProtection="1">
      <alignment horizontal="center" vertical="bottom"/>
    </xf>
    <xf numFmtId="0" fontId="43" fillId="0" borderId="25" xfId="0" applyFont="1" applyBorder="1" applyProtection="1">
      <alignment horizontal="left" vertical="center" wrapText="1"/>
    </xf>
    <xf numFmtId="0" fontId="43" fillId="0" borderId="11" xfId="0" applyFont="1" applyBorder="1" applyProtection="1">
      <alignment horizontal="left" vertical="center" wrapText="1"/>
    </xf>
    <xf numFmtId="0" fontId="30" fillId="0" borderId="28" xfId="0" applyFont="1" applyBorder="1" applyProtection="1">
      <alignment horizontal="left" vertical="center" wrapText="1"/>
    </xf>
    <xf numFmtId="0" fontId="30" fillId="0" borderId="29" xfId="0" applyFont="1" applyBorder="1" applyProtection="1">
      <alignment horizontal="left" vertical="center" wrapText="1"/>
    </xf>
    <xf numFmtId="0" fontId="94" fillId="8" borderId="10" xfId="0" applyFont="1" applyFill="1" applyBorder="1" applyProtection="1">
      <alignment horizontal="center" vertical="center" wrapText="1"/>
    </xf>
    <xf numFmtId="169" fontId="95" fillId="8" borderId="26" xfId="0" applyNumberFormat="1" applyFont="1" applyFill="1" applyBorder="1" applyProtection="1">
      <alignment horizontal="center" vertical="center" wrapText="1"/>
    </xf>
    <xf numFmtId="0" fontId="95" fillId="8" borderId="26" xfId="0" applyFont="1" applyFill="1" applyBorder="1" applyProtection="1">
      <alignment horizontal="center" vertical="center" wrapText="1"/>
    </xf>
    <xf numFmtId="0" fontId="95" fillId="8" borderId="22" xfId="0" applyFont="1" applyFill="1" applyBorder="1" applyProtection="1">
      <alignment horizontal="center" vertical="center" wrapText="1"/>
    </xf>
    <xf numFmtId="0" fontId="30" fillId="0" borderId="30" xfId="0" applyFont="1" applyBorder="1" applyProtection="1">
      <alignment horizontal="left" vertical="center" wrapText="1"/>
    </xf>
    <xf numFmtId="0" fontId="13" fillId="0" borderId="31" xfId="0" applyFont="1" applyBorder="1" applyProtection="1">
      <alignment horizontal="left" vertical="center" wrapText="1"/>
    </xf>
    <xf numFmtId="169" fontId="30" fillId="0" borderId="31" xfId="0" applyNumberFormat="1" applyFont="1" applyBorder="1" applyProtection="1">
      <alignment horizontal="left" vertical="center" wrapText="1"/>
    </xf>
    <xf numFmtId="0" fontId="30" fillId="0" borderId="32" xfId="0" applyFont="1" applyBorder="1" applyProtection="1">
      <alignment horizontal="left" vertical="center" wrapText="1"/>
    </xf>
    <xf numFmtId="0" fontId="18" fillId="0" borderId="2" xfId="0" applyFont="1" applyBorder="1" applyProtection="1">
      <alignment horizontal="left" vertical="top" wrapText="1"/>
    </xf>
    <xf numFmtId="0" fontId="18" fillId="0" borderId="6" xfId="0" applyFont="1" applyBorder="1" applyProtection="1">
      <alignment horizontal="left" vertical="top" wrapText="1"/>
    </xf>
    <xf numFmtId="0" fontId="77" fillId="0" borderId="6" xfId="0" applyFont="1" applyBorder="1" applyProtection="1">
      <alignment horizontal="left" vertical="top" wrapText="1"/>
    </xf>
    <xf numFmtId="0" fontId="18" fillId="0" borderId="9" xfId="0" applyFont="1" applyBorder="1" applyProtection="1">
      <alignment horizontal="left" vertical="top" wrapText="1"/>
    </xf>
    <xf numFmtId="170" fontId="13" fillId="0" borderId="1" xfId="0" applyNumberFormat="1" applyFont="1" applyBorder="1" applyProtection="1">
      <alignment horizontal="center" vertical="center" wrapText="1"/>
    </xf>
    <xf numFmtId="170" fontId="57" fillId="0" borderId="1" xfId="0" applyNumberFormat="1" applyFont="1" applyBorder="1" applyProtection="1">
      <alignment horizontal="center" vertical="center" wrapText="1"/>
    </xf>
    <xf numFmtId="0" fontId="18" fillId="0" borderId="2" xfId="0" applyFont="1" applyBorder="1" applyProtection="1">
      <alignment horizontal="center" vertical="center" wrapText="1"/>
    </xf>
    <xf numFmtId="0" fontId="18" fillId="0" borderId="1" xfId="0" applyFont="1" applyBorder="1" applyProtection="1">
      <alignment horizontal="center" vertical="center" wrapText="1"/>
    </xf>
    <xf numFmtId="0" fontId="18" fillId="0" borderId="6" xfId="0" applyFont="1" applyBorder="1" applyProtection="1">
      <alignment horizontal="center" vertical="center" wrapText="1"/>
    </xf>
    <xf numFmtId="49" fontId="18" fillId="0" borderId="2" xfId="0" applyNumberFormat="1" applyFont="1" applyBorder="1" applyProtection="1">
      <alignment horizontal="center" vertical="center" wrapText="1"/>
    </xf>
    <xf numFmtId="49" fontId="18" fillId="0" borderId="6" xfId="0" applyNumberFormat="1" applyFont="1" applyBorder="1" applyProtection="1">
      <alignment horizontal="center" vertical="center" wrapText="1"/>
    </xf>
    <xf numFmtId="0" fontId="13" fillId="0" borderId="1" xfId="0" applyFont="1" applyBorder="1" applyProtection="1">
      <alignment horizontal="left" vertical="center" wrapText="1"/>
    </xf>
    <xf numFmtId="0" fontId="57" fillId="0" borderId="1" xfId="0" applyFont="1" applyBorder="1" applyProtection="1">
      <alignment horizontal="left" vertical="center" wrapText="1"/>
    </xf>
    <xf numFmtId="0" fontId="68" fillId="0" borderId="6" xfId="0" applyFont="1" applyBorder="1" applyProtection="1">
      <alignment horizontal="left" vertical="top" wrapText="1"/>
    </xf>
    <xf numFmtId="0" fontId="68" fillId="0" borderId="9" xfId="0" applyFont="1" applyBorder="1" applyProtection="1">
      <alignment horizontal="left" vertical="top" wrapText="1"/>
    </xf>
    <xf numFmtId="169" fontId="13" fillId="0" borderId="3" xfId="0" applyNumberFormat="1" applyFont="1" applyBorder="1" applyProtection="1">
      <alignment horizontal="left" vertical="center" wrapText="1"/>
    </xf>
    <xf numFmtId="169" fontId="18" fillId="0" borderId="25" xfId="0" applyNumberFormat="1" applyFont="1" applyBorder="1" applyProtection="1">
      <alignment horizontal="left" vertical="center" wrapText="1"/>
    </xf>
    <xf numFmtId="169" fontId="18" fillId="0" borderId="11" xfId="0" applyNumberFormat="1" applyFont="1" applyBorder="1" applyProtection="1">
      <alignment horizontal="left" vertical="top" wrapText="1"/>
    </xf>
    <xf numFmtId="0" fontId="18" fillId="0" borderId="1" xfId="0" applyFont="1" applyBorder="1" applyProtection="1">
      <alignment horizontal="left" vertical="center" wrapText="1"/>
    </xf>
    <xf numFmtId="170" fontId="13" fillId="2" borderId="2" xfId="0" applyNumberFormat="1" applyFont="1" applyFill="1" applyBorder="1" applyProtection="1">
      <alignment horizontal="left" vertical="center" wrapText="1"/>
    </xf>
    <xf numFmtId="170" fontId="13" fillId="2" borderId="6" xfId="0" applyNumberFormat="1" applyFont="1" applyFill="1" applyBorder="1" applyProtection="1">
      <alignment horizontal="left" vertical="center" wrapText="1"/>
    </xf>
    <xf numFmtId="170" fontId="13" fillId="2" borderId="9" xfId="0" applyNumberFormat="1" applyFont="1" applyFill="1" applyBorder="1" applyProtection="1">
      <alignment horizontal="left" vertical="center" wrapText="1"/>
    </xf>
    <xf numFmtId="170" fontId="18" fillId="0" borderId="2" xfId="0" applyNumberFormat="1" applyFont="1" applyBorder="1" applyProtection="1">
      <alignment horizontal="center" vertical="center" wrapText="1"/>
    </xf>
    <xf numFmtId="170" fontId="18" fillId="0" borderId="6" xfId="0" applyNumberFormat="1" applyFont="1" applyBorder="1" applyProtection="1">
      <alignment horizontal="center" vertical="center" wrapText="1"/>
    </xf>
    <xf numFmtId="171" fontId="13" fillId="0" borderId="3" xfId="0" applyNumberFormat="1" applyFont="1" applyBorder="1" applyProtection="1">
      <alignment horizontal="left" vertical="center" wrapText="1"/>
    </xf>
    <xf numFmtId="171" fontId="18" fillId="0" borderId="25" xfId="0" applyNumberFormat="1" applyFont="1" applyBorder="1" applyProtection="1">
      <alignment horizontal="left" vertical="center" wrapText="1"/>
    </xf>
    <xf numFmtId="171" fontId="18" fillId="0" borderId="11" xfId="0" applyNumberFormat="1" applyFont="1" applyBorder="1" applyProtection="1">
      <alignment horizontal="left" vertical="center" wrapText="1"/>
    </xf>
    <xf numFmtId="0" fontId="8" fillId="2" borderId="2" xfId="0" applyFont="1" applyFill="1" applyBorder="1" applyProtection="1">
      <alignment horizontal="center" vertical="center" wrapText="1"/>
    </xf>
    <xf numFmtId="0" fontId="8" fillId="2" borderId="9" xfId="0" applyFont="1" applyFill="1" applyBorder="1" applyProtection="1">
      <alignment horizontal="center" vertical="center" wrapText="1"/>
    </xf>
    <xf numFmtId="0" fontId="8" fillId="2" borderId="33" xfId="0" applyFont="1" applyFill="1" applyBorder="1" applyProtection="1">
      <alignment horizontal="center" vertical="center" wrapText="1"/>
    </xf>
    <xf numFmtId="0" fontId="8" fillId="2" borderId="34" xfId="0" applyFont="1" applyFill="1" applyBorder="1" applyProtection="1">
      <alignment horizontal="center" vertical="center" wrapText="1"/>
    </xf>
    <xf numFmtId="0" fontId="8" fillId="2" borderId="35" xfId="0" applyFont="1" applyFill="1" applyBorder="1" applyProtection="1">
      <alignment horizontal="center" vertical="center" wrapText="1"/>
    </xf>
    <xf numFmtId="0" fontId="41" fillId="2" borderId="2" xfId="0" applyFont="1" applyFill="1" applyBorder="1" applyProtection="1">
      <alignment horizontal="center" vertical="center" wrapText="1"/>
    </xf>
    <xf numFmtId="0" fontId="41" fillId="2" borderId="6" xfId="0" applyFont="1" applyFill="1" applyBorder="1" applyProtection="1">
      <alignment horizontal="center" vertical="center" wrapText="1"/>
    </xf>
    <xf numFmtId="0" fontId="6" fillId="2" borderId="9" xfId="0" applyFont="1" applyFill="1" applyBorder="1" applyProtection="1">
      <alignment horizontal="center" vertical="center" wrapText="1"/>
    </xf>
    <xf numFmtId="0" fontId="41" fillId="2" borderId="9" xfId="0" applyFont="1" applyFill="1" applyBorder="1" applyProtection="1">
      <alignment horizontal="center" vertical="center" wrapText="1"/>
    </xf>
    <xf numFmtId="0" fontId="41" fillId="2" borderId="5" xfId="0" applyFont="1" applyFill="1" applyBorder="1" applyProtection="1">
      <alignment horizontal="center" vertical="center" wrapText="1"/>
    </xf>
    <xf numFmtId="0" fontId="41" fillId="2" borderId="27" xfId="0" applyFont="1" applyFill="1" applyBorder="1" applyProtection="1">
      <alignment horizontal="center" vertical="center" wrapText="1"/>
    </xf>
    <xf numFmtId="0" fontId="96" fillId="2" borderId="27" xfId="0" applyFont="1" applyFill="1" applyBorder="1" applyProtection="1">
      <alignment horizontal="center" vertical="center" wrapText="1"/>
    </xf>
    <xf numFmtId="0" fontId="8" fillId="2" borderId="36" xfId="0" applyFont="1" applyFill="1" applyBorder="1" applyProtection="1">
      <alignment horizontal="center" vertical="center" wrapText="1"/>
    </xf>
    <xf numFmtId="0" fontId="8" fillId="2" borderId="15" xfId="0" applyFont="1" applyFill="1" applyBorder="1" applyProtection="1">
      <alignment horizontal="center" vertical="center" wrapText="1"/>
    </xf>
    <xf numFmtId="0" fontId="8" fillId="6" borderId="15" xfId="0" applyFont="1" applyFill="1" applyBorder="1" applyProtection="1">
      <alignment horizontal="center" vertical="center" wrapText="1"/>
    </xf>
    <xf numFmtId="0" fontId="8" fillId="2" borderId="13" xfId="0" applyFont="1" applyFill="1" applyBorder="1" applyProtection="1">
      <alignment horizontal="center" vertical="center" wrapText="1"/>
    </xf>
    <xf numFmtId="14" fontId="8" fillId="2" borderId="37" xfId="0" applyNumberFormat="1" applyFont="1" applyFill="1" applyBorder="1" applyProtection="1">
      <alignment horizontal="center" vertical="center" wrapText="1"/>
    </xf>
    <xf numFmtId="14" fontId="8" fillId="2" borderId="6" xfId="0" applyNumberFormat="1" applyFont="1" applyFill="1" applyBorder="1" applyProtection="1">
      <alignment horizontal="center" vertical="center" wrapText="1"/>
    </xf>
    <xf numFmtId="14" fontId="8" fillId="2" borderId="9" xfId="0" applyNumberFormat="1" applyFont="1" applyFill="1" applyBorder="1" applyProtection="1">
      <alignment horizontal="center" vertical="center" wrapText="1"/>
    </xf>
    <xf numFmtId="0" fontId="8" fillId="2" borderId="38" xfId="0" applyFont="1" applyFill="1" applyBorder="1" applyProtection="1">
      <alignment horizontal="center" vertical="center" wrapText="1"/>
    </xf>
    <xf numFmtId="0" fontId="8" fillId="2" borderId="39" xfId="0" applyFont="1" applyFill="1" applyBorder="1" applyProtection="1">
      <alignment horizontal="center" vertical="center" wrapText="1"/>
    </xf>
    <xf numFmtId="0" fontId="8" fillId="2" borderId="40" xfId="0" applyFont="1" applyFill="1" applyBorder="1" applyProtection="1">
      <alignment horizontal="center" vertical="center" wrapText="1"/>
    </xf>
    <xf numFmtId="0" fontId="41" fillId="2" borderId="6" xfId="0" applyFont="1" applyFill="1" applyBorder="1" applyProtection="1">
      <alignment horizontal="center" vertical="center"/>
    </xf>
    <xf numFmtId="0" fontId="6" fillId="2" borderId="6" xfId="0" applyFont="1" applyFill="1" applyBorder="1" applyProtection="1">
      <alignment horizontal="center" vertical="center"/>
    </xf>
    <xf numFmtId="0" fontId="48" fillId="2" borderId="2" xfId="0" applyFont="1" applyFill="1" applyBorder="1" applyProtection="1">
      <alignment horizontal="center" vertical="center" wrapText="1"/>
    </xf>
    <xf numFmtId="0" fontId="48" fillId="2" borderId="34" xfId="0" applyFont="1" applyFill="1" applyBorder="1" applyProtection="1">
      <alignment horizontal="center" vertical="center" wrapText="1"/>
    </xf>
    <xf numFmtId="0" fontId="41" fillId="2" borderId="34" xfId="0" applyFont="1" applyFill="1" applyBorder="1" applyProtection="1">
      <alignment horizontal="center" vertical="center" wrapText="1"/>
    </xf>
    <xf numFmtId="0" fontId="6" fillId="2" borderId="34" xfId="0" applyFont="1" applyFill="1" applyBorder="1" applyProtection="1">
      <alignment horizontal="center" vertical="center" wrapText="1"/>
    </xf>
    <xf numFmtId="0" fontId="8" fillId="2" borderId="37" xfId="0" applyFont="1" applyFill="1" applyBorder="1" applyProtection="1">
      <alignment horizontal="center" vertical="center" wrapText="1"/>
    </xf>
    <xf numFmtId="0" fontId="8" fillId="2" borderId="6" xfId="0" applyFont="1" applyFill="1" applyBorder="1" applyProtection="1">
      <alignment horizontal="center" vertical="center" wrapText="1"/>
    </xf>
    <xf numFmtId="0" fontId="8" fillId="2" borderId="3" xfId="0" applyFont="1" applyFill="1" applyBorder="1" applyProtection="1">
      <alignment horizontal="center" vertical="center" wrapText="1"/>
    </xf>
    <xf numFmtId="0" fontId="8" fillId="2" borderId="25" xfId="0" applyFont="1" applyFill="1" applyBorder="1" applyProtection="1">
      <alignment horizontal="center" vertical="center" wrapText="1"/>
    </xf>
    <xf numFmtId="0" fontId="8" fillId="2" borderId="11" xfId="0" applyFont="1" applyFill="1" applyBorder="1" applyProtection="1">
      <alignment horizontal="center" vertical="center" wrapText="1"/>
    </xf>
    <xf numFmtId="0" fontId="6" fillId="2" borderId="38" xfId="0" applyFont="1" applyFill="1" applyBorder="1" applyProtection="1">
      <alignment horizontal="center" vertical="center" wrapText="1"/>
    </xf>
    <xf numFmtId="0" fontId="6" fillId="2" borderId="39" xfId="0" applyFont="1" applyFill="1" applyBorder="1" applyProtection="1">
      <alignment horizontal="center" vertical="center" wrapText="1"/>
    </xf>
    <xf numFmtId="0" fontId="6" fillId="2" borderId="41" xfId="0" applyFont="1" applyFill="1" applyBorder="1" applyProtection="1">
      <alignment horizontal="center" vertical="center" wrapText="1"/>
    </xf>
    <xf numFmtId="0" fontId="8" fillId="6" borderId="25" xfId="0" applyFont="1" applyFill="1" applyBorder="1" applyProtection="1">
      <alignment horizontal="center" vertical="center" wrapText="1"/>
    </xf>
    <xf numFmtId="0" fontId="41" fillId="2" borderId="42" xfId="0" applyFont="1" applyFill="1" applyBorder="1" applyProtection="1">
      <alignment horizontal="center" vertical="center" wrapText="1"/>
    </xf>
    <xf numFmtId="0" fontId="41" fillId="2" borderId="43" xfId="0" applyFont="1" applyFill="1" applyBorder="1" applyProtection="1">
      <alignment horizontal="center" vertical="center" wrapText="1"/>
    </xf>
    <xf numFmtId="0" fontId="41" fillId="2" borderId="44" xfId="0" applyFont="1" applyFill="1" applyBorder="1" applyProtection="1">
      <alignment horizontal="center" vertical="center" wrapText="1"/>
    </xf>
    <xf numFmtId="0" fontId="8" fillId="2" borderId="45" xfId="0" applyFont="1" applyFill="1" applyBorder="1" applyProtection="1">
      <alignment horizontal="center" vertical="center" wrapText="1"/>
    </xf>
    <xf numFmtId="0" fontId="8" fillId="2" borderId="46" xfId="0" applyFont="1" applyFill="1" applyBorder="1" applyProtection="1">
      <alignment horizontal="center" vertical="center" wrapText="1"/>
    </xf>
    <xf numFmtId="0" fontId="8" fillId="2" borderId="47" xfId="0" applyFont="1" applyFill="1" applyBorder="1" applyProtection="1">
      <alignment horizontal="center" vertical="center" wrapText="1"/>
    </xf>
    <xf numFmtId="0" fontId="8" fillId="2" borderId="48" xfId="0" applyFont="1" applyFill="1" applyBorder="1" applyProtection="1">
      <alignment horizontal="center" vertical="center" wrapText="1"/>
    </xf>
    <xf numFmtId="0" fontId="8" fillId="2" borderId="49" xfId="0" applyFont="1" applyFill="1" applyBorder="1" applyProtection="1">
      <alignment horizontal="center" vertical="center" wrapText="1"/>
    </xf>
    <xf numFmtId="0" fontId="8" fillId="2" borderId="24" xfId="0" applyFont="1" applyFill="1" applyBorder="1" applyProtection="1">
      <alignment horizontal="center" vertical="center" wrapText="1"/>
    </xf>
    <xf numFmtId="0" fontId="6" fillId="0" borderId="3" xfId="0" applyFont="1" applyBorder="1" applyProtection="1">
      <alignment horizontal="center" vertical="center"/>
    </xf>
    <xf numFmtId="0" fontId="6" fillId="0" borderId="11" xfId="0" applyFont="1" applyBorder="1" applyProtection="1">
      <alignment horizontal="center" vertical="center"/>
    </xf>
    <xf numFmtId="168" fontId="6" fillId="0" borderId="1" xfId="0" applyNumberFormat="1" applyFont="1" applyBorder="1" applyProtection="1">
      <alignment horizontal="center" vertical="center"/>
    </xf>
    <xf numFmtId="0" fontId="97" fillId="0" borderId="26" xfId="0" applyFont="1" applyBorder="1" applyProtection="1">
      <alignment horizontal="center" vertical="center"/>
    </xf>
    <xf numFmtId="0" fontId="6" fillId="0" borderId="26" xfId="0" applyFont="1" applyBorder="1" applyProtection="1">
      <alignment horizontal="center" vertical="center"/>
    </xf>
    <xf numFmtId="0" fontId="6" fillId="0" borderId="1" xfId="0" applyFont="1" applyBorder="1" applyProtection="1">
      <alignment horizontal="left" vertical="bottom"/>
    </xf>
    <xf numFmtId="0" fontId="6" fillId="0" borderId="25" xfId="0" applyFont="1" applyBorder="1" applyProtection="1">
      <alignment horizontal="center" vertical="center"/>
    </xf>
    <xf numFmtId="168" fontId="6" fillId="0" borderId="3" xfId="0" applyNumberFormat="1" applyFont="1" applyBorder="1" applyProtection="1">
      <alignment horizontal="center" vertical="center"/>
    </xf>
    <xf numFmtId="168" fontId="6" fillId="0" borderId="11" xfId="0" applyNumberFormat="1" applyFont="1" applyBorder="1" applyProtection="1">
      <alignment horizontal="center" vertical="center"/>
    </xf>
    <xf numFmtId="168" fontId="6" fillId="0" borderId="25" xfId="0" applyNumberFormat="1" applyFont="1" applyBorder="1" applyProtection="1">
      <alignment horizontal="center" vertical="center"/>
    </xf>
    <xf numFmtId="0" fontId="6" fillId="0" borderId="1" xfId="0" applyFont="1" applyBorder="1" applyProtection="1">
      <alignment horizontal="center" vertical="center"/>
    </xf>
    <xf numFmtId="0" fontId="7" fillId="0" borderId="4" xfId="0" applyFont="1" applyBorder="1" applyProtection="1">
      <alignment horizontal="left" vertical="center"/>
    </xf>
    <xf numFmtId="0" fontId="7" fillId="0" borderId="5" xfId="0" applyFont="1" applyBorder="1" applyProtection="1">
      <alignment horizontal="left" vertical="center"/>
    </xf>
    <xf numFmtId="0" fontId="7" fillId="0" borderId="8" xfId="0" applyFont="1" applyBorder="1" applyProtection="1">
      <alignment horizontal="left" vertical="center"/>
    </xf>
    <xf numFmtId="164" fontId="5" fillId="2" borderId="1" xfId="0" applyNumberFormat="1" applyFont="1" applyFill="1" applyBorder="1" applyProtection="1">
      <alignment horizontal="right" vertical="center" wrapText="1"/>
    </xf>
    <xf numFmtId="164" fontId="5" fillId="2" borderId="3" xfId="0" applyNumberFormat="1" applyFont="1" applyFill="1" applyBorder="1" applyProtection="1">
      <alignment horizontal="right" vertical="center" wrapText="1"/>
    </xf>
    <xf numFmtId="0" fontId="4" fillId="2" borderId="1" xfId="0" applyFont="1" applyFill="1" applyBorder="1" applyProtection="1">
      <alignment horizontal="center" vertical="center"/>
    </xf>
    <xf numFmtId="0" fontId="6" fillId="0" borderId="2" xfId="0" applyFont="1" applyBorder="1" applyProtection="1">
      <alignment horizontal="center" vertical="center"/>
    </xf>
    <xf numFmtId="0" fontId="6" fillId="0" borderId="6" xfId="0" applyFont="1" applyBorder="1" applyProtection="1">
      <alignment horizontal="center" vertical="center"/>
    </xf>
    <xf numFmtId="0" fontId="6" fillId="0" borderId="9" xfId="0" applyFont="1" applyBorder="1" applyProtection="1">
      <alignment horizontal="center" vertical="center"/>
    </xf>
    <xf numFmtId="49" fontId="4" fillId="2" borderId="1" xfId="0" applyNumberFormat="1" applyFont="1" applyFill="1" applyBorder="1" applyProtection="1">
      <alignment horizontal="center" vertical="center" wrapText="1"/>
    </xf>
    <xf numFmtId="164" fontId="5" fillId="2" borderId="25" xfId="0" applyNumberFormat="1" applyFont="1" applyFill="1" applyBorder="1" applyProtection="1">
      <alignment horizontal="right" vertical="center" wrapText="1"/>
    </xf>
    <xf numFmtId="49" fontId="4" fillId="2" borderId="6" xfId="0" applyNumberFormat="1" applyFont="1" applyFill="1" applyBorder="1" applyProtection="1">
      <alignment horizontal="center" vertical="center"/>
    </xf>
    <xf numFmtId="49" fontId="4" fillId="2" borderId="9" xfId="0" applyNumberFormat="1" applyFont="1" applyFill="1" applyBorder="1" applyProtection="1">
      <alignment horizontal="center" vertical="center"/>
    </xf>
    <xf numFmtId="49" fontId="98" fillId="2" borderId="3" xfId="0" applyNumberFormat="1" applyFont="1" applyFill="1" applyBorder="1" applyProtection="1">
      <alignment horizontal="center" vertical="center"/>
    </xf>
    <xf numFmtId="49" fontId="98" fillId="2" borderId="25" xfId="0" applyNumberFormat="1" applyFont="1" applyFill="1" applyBorder="1" applyProtection="1">
      <alignment horizontal="center" vertical="center"/>
    </xf>
    <xf numFmtId="49" fontId="98" fillId="2" borderId="11" xfId="0" applyNumberFormat="1" applyFont="1" applyFill="1" applyBorder="1" applyProtection="1">
      <alignment horizontal="center" vertical="center"/>
    </xf>
    <xf numFmtId="49" fontId="62" fillId="2" borderId="9" xfId="0" applyNumberFormat="1" applyFont="1" applyFill="1" applyBorder="1" applyProtection="1">
      <alignment horizontal="center" vertical="center" wrapText="1"/>
    </xf>
    <xf numFmtId="0" fontId="62" fillId="2" borderId="9" xfId="0" applyFont="1" applyFill="1" applyBorder="1" applyProtection="1">
      <alignment horizontal="center" vertical="center" wrapText="1"/>
    </xf>
    <xf numFmtId="49" fontId="94" fillId="4" borderId="3" xfId="0" applyNumberFormat="1" applyFont="1" applyFill="1" applyBorder="1" applyProtection="1">
      <alignment horizontal="center" vertical="center"/>
    </xf>
    <xf numFmtId="49" fontId="94" fillId="4" borderId="25" xfId="0" applyNumberFormat="1" applyFont="1" applyFill="1" applyBorder="1" applyProtection="1">
      <alignment horizontal="center" vertical="center"/>
    </xf>
    <xf numFmtId="49" fontId="94" fillId="4" borderId="11" xfId="0" applyNumberFormat="1" applyFont="1" applyFill="1" applyBorder="1" applyProtection="1">
      <alignment horizontal="center" vertical="center"/>
    </xf>
    <xf numFmtId="49" fontId="4" fillId="2" borderId="1" xfId="0" applyNumberFormat="1" applyFont="1" applyFill="1" applyBorder="1" applyProtection="1">
      <alignment horizontal="left" vertical="center"/>
    </xf>
    <xf numFmtId="0" fontId="7" fillId="0" borderId="25" xfId="0" applyFont="1" applyBorder="1" applyProtection="1">
      <alignment horizontal="left" vertical="center"/>
    </xf>
    <xf numFmtId="0" fontId="7" fillId="0" borderId="11" xfId="0" applyFont="1" applyBorder="1" applyProtection="1">
      <alignment horizontal="left" vertical="center"/>
    </xf>
    <xf numFmtId="49" fontId="5" fillId="2" borderId="1" xfId="0" applyNumberFormat="1" applyFont="1" applyFill="1" applyBorder="1" applyProtection="1">
      <alignment horizontal="center" vertical="center" wrapText="1"/>
    </xf>
    <xf numFmtId="49" fontId="58" fillId="2" borderId="1" xfId="0" applyNumberFormat="1" applyFont="1" applyFill="1" applyBorder="1" applyProtection="1">
      <alignment horizontal="center" vertical="center"/>
    </xf>
    <xf numFmtId="49" fontId="4" fillId="2" borderId="27" xfId="0" applyNumberFormat="1" applyFont="1" applyFill="1" applyBorder="1" applyProtection="1">
      <alignment horizontal="left" vertical="center"/>
    </xf>
    <xf numFmtId="49" fontId="4" fillId="2" borderId="6" xfId="0" applyNumberFormat="1" applyFont="1" applyFill="1" applyBorder="1" applyProtection="1">
      <alignment horizontal="left" vertical="center"/>
    </xf>
    <xf numFmtId="0" fontId="8" fillId="0" borderId="1" xfId="0" applyFont="1" applyBorder="1" applyProtection="1">
      <alignment horizontal="center" vertical="bottom"/>
    </xf>
    <xf numFmtId="49" fontId="13" fillId="2" borderId="2" xfId="0" applyNumberFormat="1" applyFont="1" applyFill="1" applyBorder="1" applyProtection="1">
      <alignment horizontal="center" vertical="center" wrapText="1"/>
    </xf>
    <xf numFmtId="49" fontId="13" fillId="2" borderId="6" xfId="0" applyNumberFormat="1" applyFont="1" applyFill="1" applyBorder="1" applyProtection="1">
      <alignment horizontal="center" vertical="center" wrapText="1"/>
    </xf>
    <xf numFmtId="49" fontId="13" fillId="2" borderId="9" xfId="0" applyNumberFormat="1" applyFont="1" applyFill="1" applyBorder="1" applyProtection="1">
      <alignment horizontal="center" vertical="center" wrapText="1"/>
    </xf>
    <xf numFmtId="49" fontId="4" fillId="2" borderId="2" xfId="0" applyNumberFormat="1" applyFont="1" applyFill="1" applyBorder="1" applyProtection="1">
      <alignment horizontal="center" vertical="center" wrapText="1"/>
    </xf>
    <xf numFmtId="49" fontId="4" fillId="2" borderId="6" xfId="0" applyNumberFormat="1" applyFont="1" applyFill="1" applyBorder="1" applyProtection="1">
      <alignment horizontal="center" vertical="center" wrapText="1"/>
    </xf>
    <xf numFmtId="49" fontId="10" fillId="2" borderId="1" xfId="0" applyNumberFormat="1" applyFont="1" applyFill="1" applyBorder="1" applyProtection="1">
      <alignment horizontal="center" vertical="center" wrapText="1"/>
    </xf>
    <xf numFmtId="49" fontId="13" fillId="2" borderId="1" xfId="0" applyNumberFormat="1" applyFont="1" applyFill="1" applyBorder="1" applyProtection="1">
      <alignment horizontal="center" vertical="center" wrapText="1"/>
    </xf>
    <xf numFmtId="49" fontId="4" fillId="2" borderId="9" xfId="0" applyNumberFormat="1" applyFont="1" applyFill="1" applyBorder="1" applyProtection="1">
      <alignment horizontal="center" vertical="center" wrapText="1"/>
    </xf>
    <xf numFmtId="0" fontId="10" fillId="2" borderId="1" xfId="0" applyFont="1" applyFill="1" applyBorder="1" applyProtection="1">
      <alignment horizontal="center" vertical="center" wrapText="1"/>
    </xf>
    <xf numFmtId="0" fontId="99" fillId="2" borderId="1" xfId="0" applyFont="1" applyFill="1" applyBorder="1" applyProtection="1">
      <alignment horizontal="center" vertical="center"/>
    </xf>
    <xf numFmtId="0" fontId="99" fillId="2" borderId="3" xfId="0" applyFont="1" applyFill="1" applyBorder="1" applyProtection="1">
      <alignment horizontal="center" vertical="center"/>
    </xf>
    <xf numFmtId="0" fontId="13" fillId="0" borderId="28" xfId="0" applyFont="1" applyBorder="1" applyProtection="1">
      <alignment horizontal="general" vertical="center" wrapText="1"/>
    </xf>
    <xf numFmtId="0" fontId="13" fillId="0" borderId="28" xfId="0" applyFont="1" applyBorder="1" applyProtection="1">
      <alignment horizontal="left" vertical="center" wrapText="1"/>
    </xf>
    <xf numFmtId="0" fontId="6" fillId="2" borderId="14" xfId="0" applyFont="1" applyFill="1" applyBorder="1" applyProtection="1">
      <alignment horizontal="general" vertical="center" wrapText="1"/>
    </xf>
    <xf numFmtId="0" fontId="57" fillId="0" borderId="11" xfId="0" applyFont="1" applyBorder="1" applyProtection="1">
      <alignment horizontal="left" vertical="center"/>
    </xf>
    <xf numFmtId="0" fontId="57" fillId="0" borderId="11" xfId="0" applyFont="1" applyBorder="1" applyProtection="1">
      <alignment horizontal="left" vertical="center" wrapText="1"/>
    </xf>
    <xf numFmtId="0" fontId="57" fillId="0" borderId="3" xfId="0" applyFont="1" applyBorder="1" applyProtection="1">
      <alignment horizontal="center" vertical="center"/>
    </xf>
    <xf numFmtId="14" fontId="77" fillId="0" borderId="1" xfId="0" applyNumberFormat="1" applyFont="1" applyBorder="1" applyProtection="1">
      <alignment horizontal="center" vertical="top" wrapText="1"/>
    </xf>
    <xf numFmtId="0" fontId="57" fillId="0" borderId="22" xfId="0" applyFont="1" applyBorder="1" applyProtection="1">
      <alignment horizontal="left" vertical="center" wrapText="1"/>
    </xf>
    <xf numFmtId="171" fontId="57" fillId="0" borderId="1" xfId="0" applyNumberFormat="1" applyFont="1" applyBorder="1" applyProtection="1">
      <alignment horizontal="center" vertical="center" wrapText="1"/>
    </xf>
    <xf numFmtId="170" fontId="77" fillId="0" borderId="3" xfId="0" applyNumberFormat="1" applyFont="1" applyBorder="1" applyProtection="1">
      <alignment horizontal="center" vertical="center" wrapText="1"/>
    </xf>
    <xf numFmtId="0" fontId="77" fillId="0" borderId="1" xfId="0" applyFont="1" applyBorder="1" applyProtection="1">
      <alignment horizontal="left" vertical="top" wrapText="1"/>
    </xf>
    <xf numFmtId="0" fontId="79" fillId="0" borderId="3" xfId="0" applyFont="1" applyBorder="1" applyProtection="1">
      <alignment horizontal="center" vertical="center"/>
    </xf>
    <xf numFmtId="14" fontId="57" fillId="0" borderId="22" xfId="0" applyNumberFormat="1" applyFont="1" applyBorder="1" applyProtection="1">
      <alignment horizontal="center" vertical="center" wrapText="1"/>
    </xf>
    <xf numFmtId="0" fontId="89" fillId="0" borderId="1" xfId="0" applyFont="1" applyBorder="1" applyProtection="1">
      <alignment horizontal="center" vertical="center" wrapText="1"/>
    </xf>
    <xf numFmtId="0" fontId="77" fillId="0" borderId="1" xfId="0" applyFont="1" applyBorder="1" applyProtection="1">
      <alignment horizontal="center" vertical="center" wrapText="1"/>
    </xf>
    <xf numFmtId="169" fontId="77" fillId="0" borderId="1" xfId="0" applyNumberFormat="1" applyFont="1" applyBorder="1" applyProtection="1">
      <alignment horizontal="center" vertical="top" wrapText="1"/>
    </xf>
    <xf numFmtId="169" fontId="77" fillId="0" borderId="1" xfId="0" applyNumberFormat="1" applyFont="1" applyBorder="1" applyProtection="1">
      <alignment horizontal="center" vertical="center" wrapText="1"/>
    </xf>
    <xf numFmtId="171" fontId="77" fillId="0" borderId="1" xfId="0" applyNumberFormat="1" applyFont="1" applyBorder="1" applyProtection="1">
      <alignment horizontal="center" vertical="center" wrapText="1"/>
    </xf>
    <xf numFmtId="170" fontId="77" fillId="2" borderId="1" xfId="0" applyNumberFormat="1" applyFont="1" applyFill="1" applyBorder="1" applyProtection="1">
      <alignment horizontal="general" vertical="center" wrapText="1"/>
    </xf>
    <xf numFmtId="0" fontId="27" fillId="0" borderId="0" xfId="0" applyFont="1">
      <alignment horizontal="general" vertical="center"/>
    </xf>
    <xf numFmtId="170" fontId="57" fillId="0" borderId="1" xfId="0" applyNumberFormat="1" applyFont="1" applyBorder="1" applyProtection="1">
      <alignment horizontal="center" vertical="center" wrapText="1"/>
    </xf>
    <xf numFmtId="0" fontId="57" fillId="0" borderId="1" xfId="0" applyFont="1" applyBorder="1" applyProtection="1">
      <alignment horizontal="center" vertical="center" wrapText="1"/>
    </xf>
    <xf numFmtId="169" fontId="77" fillId="0" borderId="2" xfId="0" applyNumberFormat="1" applyFont="1" applyBorder="1" applyProtection="1">
      <alignment horizontal="center" vertical="top" wrapText="1"/>
    </xf>
    <xf numFmtId="170" fontId="77" fillId="0" borderId="1" xfId="0" applyNumberFormat="1" applyFont="1" applyBorder="1" applyProtection="1">
      <alignment horizontal="center" vertical="top" wrapText="1"/>
    </xf>
    <xf numFmtId="0" fontId="77" fillId="0" borderId="22" xfId="0" applyFont="1" applyBorder="1" applyProtection="1">
      <alignment horizontal="left" vertical="center" wrapText="1"/>
    </xf>
    <xf numFmtId="0" fontId="78" fillId="0" borderId="0" xfId="0" applyFont="1">
      <alignment horizontal="general" vertical="top" wrapText="1"/>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30" fillId="0" borderId="2" xfId="0" applyFont="1" applyBorder="1" applyProtection="1">
      <alignment horizontal="center" vertical="center" wrapText="1"/>
    </xf>
    <xf numFmtId="0" fontId="30" fillId="0" borderId="2" xfId="0" applyFont="1" applyBorder="1" applyProtection="1">
      <alignment horizontal="center" vertical="center" wrapText="1"/>
    </xf>
    <xf numFmtId="0" fontId="44" fillId="0" borderId="1" xfId="0" applyFont="1" applyBorder="1" applyProtection="1">
      <alignment horizontal="center" vertical="center"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26" fillId="7" borderId="1" xfId="0" applyFont="1" applyFill="1" applyBorder="1" applyProtection="1">
      <alignment horizontal="general" vertical="center" wrapText="1"/>
    </xf>
    <xf numFmtId="0" fontId="41" fillId="0" borderId="1" xfId="0" applyFont="1" applyBorder="1" applyProtection="1">
      <alignment horizontal="center" vertical="center" wrapText="1"/>
    </xf>
    <xf numFmtId="0" fontId="27" fillId="0" borderId="1" xfId="0" applyFont="1" applyBorder="1" applyProtection="1">
      <alignment horizontal="general" vertical="center" wrapText="1"/>
    </xf>
    <xf numFmtId="0" fontId="40" fillId="0" borderId="1" xfId="0" applyFont="1" applyBorder="1" applyProtection="1">
      <alignment horizontal="general" vertical="top" wrapText="1"/>
    </xf>
    <xf numFmtId="0" fontId="26" fillId="0" borderId="1" xfId="0" applyFont="1" applyBorder="1" applyProtection="1">
      <alignment horizontal="general" vertical="center" wrapText="1"/>
    </xf>
    <xf numFmtId="0" fontId="26" fillId="0" borderId="1" xfId="0" applyFont="1" applyBorder="1" applyProtection="1">
      <alignment horizontal="general" vertical="top" wrapText="1"/>
    </xf>
    <xf numFmtId="0" fontId="42" fillId="0" borderId="1" xfId="0" applyFont="1" applyBorder="1" applyProtection="1">
      <alignment horizontal="general" vertical="center" wrapText="1"/>
    </xf>
    <xf numFmtId="0" fontId="27" fillId="0" borderId="1" xfId="0" applyFont="1" applyBorder="1" applyProtection="1">
      <alignment horizontal="general"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34" fillId="0" borderId="2" xfId="0" applyFont="1" applyBorder="1" applyProtection="1">
      <alignment horizontal="left" vertical="top" wrapText="1"/>
    </xf>
    <xf numFmtId="0" fontId="30" fillId="0" borderId="2" xfId="0" applyFont="1" applyBorder="1" applyProtection="1">
      <alignment horizontal="left" vertical="top" wrapText="1"/>
    </xf>
    <xf numFmtId="58" fontId="30" fillId="0" borderId="2" xfId="0" applyNumberFormat="1" applyFont="1" applyBorder="1" applyProtection="1">
      <alignment horizontal="left" vertical="center" wrapText="1"/>
    </xf>
    <xf numFmtId="0" fontId="13" fillId="0" borderId="1" xfId="0" applyFont="1" applyBorder="1" applyProtection="1">
      <alignment horizontal="left" vertical="center" wrapText="1"/>
    </xf>
    <xf numFmtId="0" fontId="87" fillId="0" borderId="22" xfId="0" applyFont="1" applyBorder="1" applyProtection="1">
      <alignment horizontal="left" vertical="top" wrapText="1"/>
    </xf>
    <xf numFmtId="0" fontId="77"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86" fillId="0" borderId="22" xfId="0" applyFont="1" applyBorder="1" applyProtection="1">
      <alignment horizontal="left" vertical="center" wrapText="1"/>
    </xf>
    <xf numFmtId="0" fontId="69" fillId="2" borderId="22" xfId="0" applyFont="1" applyFill="1" applyBorder="1" applyProtection="1">
      <alignment horizontal="left" vertical="top" wrapText="1"/>
    </xf>
    <xf numFmtId="0" fontId="69" fillId="0" borderId="22" xfId="0" applyFont="1" applyBorder="1" applyProtection="1">
      <alignment horizontal="left" vertical="center" wrapText="1"/>
    </xf>
    <xf numFmtId="0" fontId="69" fillId="0" borderId="22" xfId="0" applyFont="1" applyBorder="1" applyProtection="1">
      <alignment horizontal="left" vertical="center" wrapText="1"/>
    </xf>
    <xf numFmtId="0" fontId="69" fillId="0" borderId="22" xfId="0" applyFont="1" applyBorder="1" applyProtection="1">
      <alignment horizontal="left" vertical="top" wrapText="1"/>
    </xf>
    <xf numFmtId="0" fontId="69"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14" fontId="77" fillId="0" borderId="22" xfId="0" applyNumberFormat="1" applyFont="1" applyBorder="1" applyProtection="1">
      <alignment horizontal="center" vertical="center" wrapText="1"/>
    </xf>
    <xf numFmtId="0" fontId="77"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0" fontId="18" fillId="0" borderId="22" xfId="0" applyFont="1" applyBorder="1" applyProtection="1">
      <alignment horizontal="left" vertical="center" wrapText="1"/>
    </xf>
    <xf numFmtId="0" fontId="13" fillId="0" borderId="1" xfId="0" applyFont="1" applyBorder="1" applyProtection="1">
      <alignment horizontal="left" vertical="center" wrapText="1"/>
    </xf>
    <xf numFmtId="0" fontId="68" fillId="0" borderId="2" xfId="0" applyFont="1" applyBorder="1" applyProtection="1">
      <alignment horizontal="left" vertical="top" wrapText="1"/>
    </xf>
    <xf numFmtId="0" fontId="41" fillId="2" borderId="1" xfId="0"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2" borderId="12" xfId="0" applyFont="1" applyFill="1" applyBorder="1" applyProtection="1">
      <alignment horizontal="general" vertical="center" wrapText="1"/>
    </xf>
    <xf numFmtId="0" fontId="48" fillId="2" borderId="1" xfId="0" applyFont="1" applyFill="1" applyBorder="1" applyProtection="1">
      <alignment horizontal="left"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0" fontId="100" fillId="0" borderId="0" xfId="0" applyFont="1">
      <alignment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101" fillId="0" borderId="1" xfId="0" applyFont="1" applyBorder="1" applyProtection="1">
      <alignment horizontal="left"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47" fillId="0" borderId="0" xfId="0" applyFont="1">
      <alignment horizontal="general" vertical="center"/>
    </xf>
    <xf numFmtId="0" fontId="41" fillId="0" borderId="2" xfId="0" applyFont="1" applyBorder="1" applyProtection="1">
      <alignment horizontal="center" vertical="center"/>
    </xf>
    <xf numFmtId="0" fontId="102" fillId="0" borderId="1" xfId="0" applyFont="1" applyBorder="1" applyProtection="1">
      <alignment horizontal="center" vertical="center"/>
    </xf>
    <xf numFmtId="0" fontId="103" fillId="0" borderId="6" xfId="0" applyFont="1" applyBorder="1" applyProtection="1">
      <alignment horizontal="left" vertical="center"/>
    </xf>
    <xf numFmtId="0" fontId="104" fillId="0" borderId="2" xfId="0" applyFont="1" applyBorder="1" applyProtection="1">
      <alignment horizontal="center" vertical="center" wrapText="1"/>
    </xf>
    <xf numFmtId="0" fontId="105" fillId="0" borderId="2" xfId="0" applyFont="1" applyBorder="1" applyProtection="1">
      <alignment horizontal="center" vertical="center" wrapText="1"/>
    </xf>
    <xf numFmtId="0" fontId="106" fillId="0" borderId="1" xfId="0" applyFont="1" applyBorder="1" applyProtection="1">
      <alignment horizontal="center" vertical="center" wrapText="1"/>
    </xf>
    <xf numFmtId="0" fontId="107" fillId="0" borderId="1" xfId="0" applyFont="1" applyBorder="1" applyProtection="1">
      <alignment horizontal="general" vertical="top" wrapText="1"/>
    </xf>
    <xf numFmtId="0" fontId="108" fillId="0" borderId="1" xfId="0" applyFont="1" applyBorder="1" applyProtection="1">
      <alignment horizontal="general" vertical="top" wrapText="1"/>
    </xf>
    <xf numFmtId="0" fontId="109" fillId="0" borderId="1" xfId="0" applyFont="1" applyBorder="1" applyProtection="1">
      <alignment horizontal="general" vertical="top" wrapText="1"/>
    </xf>
    <xf numFmtId="0" fontId="110" fillId="0" borderId="1" xfId="0" applyFont="1" applyBorder="1" applyProtection="1">
      <alignment horizontal="general" vertical="top" wrapText="1"/>
    </xf>
    <xf numFmtId="0" fontId="111" fillId="0" borderId="1" xfId="0" applyFont="1" applyBorder="1" applyProtection="1">
      <alignment horizontal="general" vertical="center" wrapText="1"/>
    </xf>
    <xf numFmtId="0" fontId="112" fillId="7" borderId="1" xfId="0" applyFont="1" applyFill="1" applyBorder="1" applyProtection="1">
      <alignment horizontal="general" vertical="center" wrapText="1"/>
    </xf>
    <xf numFmtId="0" fontId="113" fillId="0" borderId="1" xfId="0" applyFont="1" applyBorder="1" applyProtection="1">
      <alignment horizontal="center" vertical="center" wrapText="1"/>
    </xf>
    <xf numFmtId="0" fontId="114" fillId="0" borderId="1" xfId="0" applyFont="1" applyBorder="1" applyProtection="1">
      <alignment horizontal="general" vertical="center" wrapText="1"/>
    </xf>
    <xf numFmtId="0" fontId="115" fillId="0" borderId="1" xfId="0" applyFont="1" applyBorder="1" applyProtection="1">
      <alignment horizontal="general" vertical="top" wrapText="1"/>
    </xf>
    <xf numFmtId="0" fontId="116" fillId="0" borderId="1" xfId="0" applyFont="1" applyBorder="1" applyProtection="1">
      <alignment horizontal="general" vertical="center" wrapText="1"/>
    </xf>
    <xf numFmtId="0" fontId="117" fillId="0" borderId="1" xfId="0" applyFont="1" applyBorder="1" applyProtection="1">
      <alignment horizontal="general" vertical="top" wrapText="1"/>
    </xf>
    <xf numFmtId="0" fontId="118" fillId="0" borderId="1" xfId="0" applyFont="1" applyBorder="1" applyProtection="1">
      <alignment horizontal="general" vertical="center" wrapText="1"/>
    </xf>
    <xf numFmtId="0" fontId="119" fillId="0" borderId="1" xfId="0" applyFont="1" applyBorder="1" applyProtection="1">
      <alignment horizontal="general" vertical="top" wrapText="1"/>
    </xf>
    <xf numFmtId="0" fontId="120" fillId="0" borderId="1" xfId="0" applyFont="1" applyBorder="1" applyProtection="1">
      <alignment horizontal="general" vertical="center" wrapText="1"/>
    </xf>
    <xf numFmtId="0" fontId="121" fillId="0" borderId="1" xfId="0" applyFont="1" applyBorder="1" applyProtection="1">
      <alignment horizontal="general" vertical="top" wrapText="1"/>
    </xf>
    <xf numFmtId="0" fontId="122" fillId="0" borderId="1" xfId="0" applyFont="1" applyBorder="1" applyProtection="1">
      <alignment horizontal="general" vertical="center" wrapText="1"/>
    </xf>
    <xf numFmtId="0" fontId="123" fillId="0" borderId="1" xfId="0" applyFont="1" applyBorder="1" applyProtection="1">
      <alignment horizontal="left" vertical="center" wrapText="1"/>
    </xf>
    <xf numFmtId="0" fontId="124" fillId="0" borderId="1" xfId="0" applyFont="1" applyBorder="1" applyProtection="1">
      <alignment horizontal="left" vertical="center" wrapText="1"/>
    </xf>
    <xf numFmtId="0" fontId="125" fillId="0" borderId="2" xfId="0" applyFont="1" applyBorder="1" applyProtection="1">
      <alignment horizontal="left" vertical="top" wrapText="1"/>
    </xf>
    <xf numFmtId="0" fontId="126" fillId="0" borderId="2" xfId="0" applyFont="1" applyBorder="1" applyProtection="1">
      <alignment horizontal="left" vertical="top" wrapText="1"/>
    </xf>
    <xf numFmtId="58" fontId="127" fillId="0" borderId="2" xfId="0" applyNumberFormat="1" applyFont="1" applyBorder="1" applyProtection="1">
      <alignment horizontal="left" vertical="center" wrapText="1"/>
    </xf>
    <xf numFmtId="0" fontId="128" fillId="0" borderId="1" xfId="0" applyFont="1" applyBorder="1" applyProtection="1">
      <alignment horizontal="left" vertical="center" wrapText="1"/>
    </xf>
    <xf numFmtId="0" fontId="129" fillId="0" borderId="22" xfId="0" applyFont="1" applyBorder="1" applyProtection="1">
      <alignment horizontal="left" vertical="top" wrapText="1"/>
    </xf>
    <xf numFmtId="0" fontId="130" fillId="0" borderId="22" xfId="0" applyFont="1" applyBorder="1" applyProtection="1">
      <alignment horizontal="left" vertical="center" wrapText="1"/>
    </xf>
    <xf numFmtId="0" fontId="131" fillId="0" borderId="22" xfId="0" applyFont="1" applyBorder="1" applyProtection="1">
      <alignment horizontal="left" vertical="center" wrapText="1"/>
    </xf>
    <xf numFmtId="0" fontId="132" fillId="0" borderId="22" xfId="0" applyFont="1" applyBorder="1" applyProtection="1">
      <alignment horizontal="left" vertical="center" wrapText="1"/>
    </xf>
    <xf numFmtId="0" fontId="133" fillId="0" borderId="22" xfId="0" applyFont="1" applyBorder="1" applyProtection="1">
      <alignment horizontal="left" vertical="center" wrapText="1"/>
    </xf>
    <xf numFmtId="0" fontId="134" fillId="2" borderId="22" xfId="0" applyFont="1" applyFill="1" applyBorder="1" applyProtection="1">
      <alignment horizontal="left" vertical="top" wrapText="1"/>
    </xf>
    <xf numFmtId="0" fontId="135" fillId="0" borderId="22" xfId="0" applyFont="1" applyBorder="1" applyProtection="1">
      <alignment horizontal="left" vertical="center" wrapText="1"/>
    </xf>
    <xf numFmtId="0" fontId="136" fillId="0" borderId="22" xfId="0" applyFont="1" applyBorder="1" applyProtection="1">
      <alignment horizontal="left" vertical="center" wrapText="1"/>
    </xf>
    <xf numFmtId="0" fontId="137" fillId="0" borderId="22" xfId="0" applyFont="1" applyBorder="1" applyProtection="1">
      <alignment horizontal="left" vertical="top" wrapText="1"/>
    </xf>
    <xf numFmtId="0" fontId="138" fillId="2" borderId="22" xfId="0" applyFont="1" applyFill="1" applyBorder="1" applyProtection="1">
      <alignment horizontal="left" vertical="center" wrapText="1"/>
    </xf>
    <xf numFmtId="0" fontId="139" fillId="2" borderId="22" xfId="0" applyFont="1" applyFill="1" applyBorder="1" applyProtection="1">
      <alignment horizontal="left" vertical="center" wrapText="1"/>
    </xf>
    <xf numFmtId="0" fontId="140" fillId="2" borderId="22" xfId="0" applyFont="1" applyFill="1" applyBorder="1" applyProtection="1">
      <alignment horizontal="left" vertical="center" wrapText="1"/>
    </xf>
    <xf numFmtId="14" fontId="141" fillId="0" borderId="22" xfId="0" applyNumberFormat="1" applyFont="1" applyBorder="1" applyProtection="1">
      <alignment horizontal="center" vertical="center" wrapText="1"/>
    </xf>
    <xf numFmtId="0" fontId="142" fillId="2" borderId="22" xfId="0" applyFont="1" applyFill="1" applyBorder="1" applyProtection="1">
      <alignment horizontal="left" vertical="center" wrapText="1"/>
    </xf>
    <xf numFmtId="0" fontId="143" fillId="2" borderId="22" xfId="0" applyFont="1" applyFill="1" applyBorder="1" applyProtection="1">
      <alignment horizontal="left" vertical="center" wrapText="1"/>
    </xf>
    <xf numFmtId="0" fontId="144" fillId="0" borderId="22" xfId="0" applyFont="1" applyBorder="1" applyProtection="1">
      <alignment horizontal="left" vertical="center" wrapText="1"/>
    </xf>
    <xf numFmtId="0" fontId="145" fillId="0" borderId="1" xfId="0" applyFont="1" applyBorder="1" applyProtection="1">
      <alignment horizontal="left" vertical="center" wrapText="1"/>
    </xf>
    <xf numFmtId="0" fontId="146" fillId="0" borderId="2" xfId="0" applyFont="1" applyBorder="1" applyProtection="1">
      <alignment horizontal="left" vertical="top" wrapText="1"/>
    </xf>
    <xf numFmtId="0" fontId="147" fillId="0" borderId="2" xfId="0" applyFont="1" applyBorder="1" applyProtection="1">
      <alignment horizontal="left" vertical="center" wrapText="1"/>
    </xf>
    <xf numFmtId="0" fontId="148" fillId="0" borderId="2" xfId="0" applyFont="1" applyBorder="1" applyProtection="1">
      <alignment horizontal="left" vertical="top" wrapText="1"/>
    </xf>
    <xf numFmtId="0" fontId="149" fillId="2" borderId="1" xfId="0" applyFont="1" applyFill="1" applyBorder="1" applyProtection="1">
      <alignment horizontal="center" vertical="center" wrapText="1"/>
    </xf>
    <xf numFmtId="0" fontId="150" fillId="2" borderId="12" xfId="0" applyFont="1" applyFill="1" applyBorder="1" applyProtection="1">
      <alignment horizontal="general" vertical="center" wrapText="1"/>
    </xf>
    <xf numFmtId="0" fontId="151" fillId="2" borderId="12" xfId="0" applyFont="1" applyFill="1" applyBorder="1" applyProtection="1">
      <alignment horizontal="general" vertical="center" wrapText="1"/>
    </xf>
    <xf numFmtId="0" fontId="152" fillId="2" borderId="1" xfId="0" applyFont="1" applyFill="1" applyBorder="1" applyProtection="1">
      <alignment horizontal="left" vertical="center" wrapText="1"/>
    </xf>
    <xf numFmtId="49" fontId="153" fillId="2" borderId="9" xfId="0" applyNumberFormat="1" applyFont="1" applyFill="1" applyBorder="1" applyProtection="1">
      <alignment horizontal="center" vertical="center" wrapText="1"/>
    </xf>
    <xf numFmtId="49" fontId="154" fillId="2" borderId="10" xfId="0" applyNumberFormat="1" applyFont="1" applyFill="1" applyBorder="1" applyProtection="1">
      <alignment horizontal="center" vertical="center" wrapText="1"/>
    </xf>
    <xf numFmtId="49" fontId="155" fillId="2" borderId="9" xfId="0" applyNumberFormat="1" applyFont="1" applyFill="1" applyBorder="1" applyProtection="1">
      <alignment horizontal="center" vertical="center" wrapText="1"/>
    </xf>
    <xf numFmtId="49" fontId="156" fillId="2" borderId="10" xfId="0" applyNumberFormat="1" applyFont="1" applyFill="1" applyBorder="1" applyProtection="1">
      <alignment horizontal="center" vertical="center" wrapText="1"/>
    </xf>
    <xf numFmtId="49" fontId="157" fillId="2" borderId="9" xfId="0" applyNumberFormat="1" applyFont="1" applyFill="1" applyBorder="1" applyProtection="1">
      <alignment horizontal="center" vertical="center" wrapText="1"/>
    </xf>
    <xf numFmtId="49" fontId="158" fillId="2" borderId="10" xfId="0" applyNumberFormat="1" applyFont="1" applyFill="1" applyBorder="1" applyProtection="1">
      <alignment horizontal="center" vertical="center" wrapText="1"/>
    </xf>
    <xf numFmtId="49" fontId="159" fillId="2" borderId="9" xfId="0" applyNumberFormat="1" applyFont="1" applyFill="1" applyBorder="1" applyProtection="1">
      <alignment horizontal="center" vertical="center" wrapText="1"/>
    </xf>
    <xf numFmtId="49" fontId="160" fillId="2" borderId="10" xfId="0" applyNumberFormat="1" applyFont="1" applyFill="1" applyBorder="1" applyProtection="1">
      <alignment horizontal="center" vertical="center" wrapText="1"/>
    </xf>
    <xf numFmtId="49" fontId="161" fillId="2" borderId="9" xfId="0" applyNumberFormat="1" applyFont="1" applyFill="1" applyBorder="1" applyProtection="1">
      <alignment horizontal="center" vertical="center" wrapText="1"/>
    </xf>
    <xf numFmtId="49" fontId="162" fillId="2" borderId="10" xfId="0" applyNumberFormat="1" applyFont="1" applyFill="1" applyBorder="1" applyProtection="1">
      <alignment horizontal="center" vertical="center" wrapText="1"/>
    </xf>
    <xf numFmtId="49" fontId="163" fillId="2" borderId="9" xfId="0" applyNumberFormat="1" applyFont="1" applyFill="1" applyBorder="1" applyProtection="1">
      <alignment horizontal="center" vertical="center" wrapText="1"/>
    </xf>
    <xf numFmtId="49" fontId="164" fillId="2" borderId="10" xfId="0" applyNumberFormat="1" applyFont="1" applyFill="1" applyBorder="1" applyProtection="1">
      <alignment horizontal="center" vertical="center" wrapText="1"/>
    </xf>
  </cellXfs>
  <cellStyles count="2">
    <cellStyle name="常规" xfId="0" builtinId="0"/>
    <cellStyle name="超链接" xfId="1" builtinId="8"/>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6" Type="http://schemas.openxmlformats.org/officeDocument/2006/relationships/image" Target="../media/image6.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7" Type="http://schemas.openxmlformats.org/officeDocument/2006/relationships/image" Target="../media/image7.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10" Type="http://schemas.openxmlformats.org/officeDocument/2006/relationships/image" Target="../media/image17.png"/><Relationship Id="rId11" Type="http://schemas.openxmlformats.org/officeDocument/2006/relationships/image" Target="../media/image18.png"/><Relationship Id="rId5" Type="http://schemas.openxmlformats.org/officeDocument/2006/relationships/image" Target="../media/image12.png"/><Relationship Id="rId4" Type="http://schemas.openxmlformats.org/officeDocument/2006/relationships/image" Target="../media/image11.png"/><Relationship Id="rId7" Type="http://schemas.openxmlformats.org/officeDocument/2006/relationships/image" Target="../media/image14.png"/><Relationship Id="rId12" Type="http://schemas.openxmlformats.org/officeDocument/2006/relationships/image" Target="../media/image19.png"/><Relationship Id="rId6" Type="http://schemas.openxmlformats.org/officeDocument/2006/relationships/image" Target="../media/image13.png"/><Relationship Id="rId1" Type="http://schemas.openxmlformats.org/officeDocument/2006/relationships/image" Target="../media/image8.png"/><Relationship Id="rId8" Type="http://schemas.openxmlformats.org/officeDocument/2006/relationships/image" Target="../media/image15.png"/><Relationship Id="rId9" Type="http://schemas.openxmlformats.org/officeDocument/2006/relationships/image" Target="../media/image16.png"/><Relationship Id="rId13" Type="http://schemas.openxmlformats.org/officeDocument/2006/relationships/image" Target="../media/image20.png"/><Relationship Id="rId2" Type="http://schemas.openxmlformats.org/officeDocument/2006/relationships/image" Target="../media/image9.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12</xdr:col>
      <xdr:colOff>0</xdr:colOff>
      <xdr:row>32</xdr:row>
      <xdr:rowOff>0</xdr:rowOff>
    </xdr:from>
    <xdr:ext cx="371475" cy="152400"/>
    <xdr:pic>
      <xdr:nvPicPr>
        <xdr:cNvPr id="1" name="图片 1"/>
        <xdr:cNvPicPr/>
      </xdr:nvPicPr>
      <xdr:blipFill>
        <a:blip r:embed="rId1"/>
        <a:stretch>
          <a:fillRect/>
        </a:stretch>
      </xdr:blipFill>
      <xdr:spPr>
        <a:xfrm>
          <a:off x="19786600" y="20250150"/>
          <a:ext cx="371475" cy="152400"/>
        </a:xfrm>
        <a:prstGeom prst="rect"/>
      </xdr:spPr>
    </xdr:pic>
    <xdr:clientData/>
  </xdr:oneCellAnchor>
  <xdr:oneCellAnchor>
    <xdr:from>
      <xdr:col>12</xdr:col>
      <xdr:colOff>604630</xdr:colOff>
      <xdr:row>32</xdr:row>
      <xdr:rowOff>8282</xdr:rowOff>
    </xdr:from>
    <xdr:ext cx="371475" cy="243921"/>
    <xdr:pic>
      <xdr:nvPicPr>
        <xdr:cNvPr id="2" name="图片 2"/>
        <xdr:cNvPicPr/>
      </xdr:nvPicPr>
      <xdr:blipFill>
        <a:blip r:embed="rId2"/>
        <a:stretch>
          <a:fillRect/>
        </a:stretch>
      </xdr:blipFill>
      <xdr:spPr>
        <a:xfrm>
          <a:off x="20391120" y="20258405"/>
          <a:ext cx="371475" cy="243921"/>
        </a:xfrm>
        <a:prstGeom prst="rect"/>
      </xdr:spPr>
    </xdr:pic>
    <xdr:clientData/>
  </xdr:oneCellAnchor>
  <xdr:oneCellAnchor>
    <xdr:from>
      <xdr:col>12</xdr:col>
      <xdr:colOff>41413</xdr:colOff>
      <xdr:row>32</xdr:row>
      <xdr:rowOff>231913</xdr:rowOff>
    </xdr:from>
    <xdr:ext cx="371475" cy="895764"/>
    <xdr:pic>
      <xdr:nvPicPr>
        <xdr:cNvPr id="3" name="图片 3"/>
        <xdr:cNvPicPr/>
      </xdr:nvPicPr>
      <xdr:blipFill>
        <a:blip r:embed="rId3"/>
        <a:stretch>
          <a:fillRect/>
        </a:stretch>
      </xdr:blipFill>
      <xdr:spPr>
        <a:xfrm>
          <a:off x="19827875" y="20481925"/>
          <a:ext cx="371475" cy="895764"/>
        </a:xfrm>
        <a:prstGeom prst="rect"/>
      </xdr:spPr>
    </xdr:pic>
    <xdr:clientData/>
  </xdr:oneCellAnchor>
  <xdr:oneCellAnchor>
    <xdr:from>
      <xdr:col>12</xdr:col>
      <xdr:colOff>1167848</xdr:colOff>
      <xdr:row>32</xdr:row>
      <xdr:rowOff>16565</xdr:rowOff>
    </xdr:from>
    <xdr:ext cx="371475" cy="249720"/>
    <xdr:pic>
      <xdr:nvPicPr>
        <xdr:cNvPr id="4" name="图片 4"/>
        <xdr:cNvPicPr/>
      </xdr:nvPicPr>
      <xdr:blipFill>
        <a:blip r:embed="rId4"/>
        <a:stretch>
          <a:fillRect/>
        </a:stretch>
      </xdr:blipFill>
      <xdr:spPr>
        <a:xfrm>
          <a:off x="20954365" y="20266660"/>
          <a:ext cx="371475" cy="249720"/>
        </a:xfrm>
        <a:prstGeom prst="rect"/>
      </xdr:spPr>
    </xdr:pic>
    <xdr:clientData/>
  </xdr:oneCellAnchor>
  <xdr:oneCellAnchor>
    <xdr:from>
      <xdr:col>12</xdr:col>
      <xdr:colOff>0</xdr:colOff>
      <xdr:row>32</xdr:row>
      <xdr:rowOff>0</xdr:rowOff>
    </xdr:from>
    <xdr:ext cx="371475" cy="152400"/>
    <xdr:pic>
      <xdr:nvPicPr>
        <xdr:cNvPr id="1" name="图片 1"/>
        <xdr:cNvPicPr/>
      </xdr:nvPicPr>
      <xdr:blipFill>
        <a:blip r:embed="rId1"/>
        <a:stretch>
          <a:fillRect/>
        </a:stretch>
      </xdr:blipFill>
      <xdr:spPr>
        <a:xfrm>
          <a:off x="19786600" y="20250150"/>
          <a:ext cx="371475" cy="152400"/>
        </a:xfrm>
        <a:prstGeom prst="rect"/>
      </xdr:spPr>
    </xdr:pic>
    <xdr:clientData/>
  </xdr:oneCellAnchor>
  <xdr:oneCellAnchor>
    <xdr:from>
      <xdr:col>12</xdr:col>
      <xdr:colOff>0</xdr:colOff>
      <xdr:row>32</xdr:row>
      <xdr:rowOff>0</xdr:rowOff>
    </xdr:from>
    <xdr:ext cx="371475" cy="219075"/>
    <xdr:pic>
      <xdr:nvPicPr>
        <xdr:cNvPr id="2" name="图片 2"/>
        <xdr:cNvPicPr/>
      </xdr:nvPicPr>
      <xdr:blipFill>
        <a:blip r:embed="rId2"/>
        <a:stretch>
          <a:fillRect/>
        </a:stretch>
      </xdr:blipFill>
      <xdr:spPr>
        <a:xfrm>
          <a:off x="19786600" y="20250150"/>
          <a:ext cx="371475" cy="219075"/>
        </a:xfrm>
        <a:prstGeom prst="rect"/>
      </xdr:spPr>
    </xdr:pic>
    <xdr:clientData/>
  </xdr:oneCellAnchor>
  <xdr:oneCellAnchor>
    <xdr:from>
      <xdr:col>12</xdr:col>
      <xdr:colOff>0</xdr:colOff>
      <xdr:row>32</xdr:row>
      <xdr:rowOff>0</xdr:rowOff>
    </xdr:from>
    <xdr:ext cx="371475" cy="219075"/>
    <xdr:pic>
      <xdr:nvPicPr>
        <xdr:cNvPr id="2" name="图片 2"/>
        <xdr:cNvPicPr/>
      </xdr:nvPicPr>
      <xdr:blipFill>
        <a:blip r:embed="rId2"/>
        <a:stretch>
          <a:fillRect/>
        </a:stretch>
      </xdr:blipFill>
      <xdr:spPr>
        <a:xfrm>
          <a:off x="19786600" y="20250150"/>
          <a:ext cx="371475" cy="219075"/>
        </a:xfrm>
        <a:prstGeom prst="rect"/>
      </xdr:spPr>
    </xdr:pic>
    <xdr:clientData/>
  </xdr:oneCellAnchor>
  <xdr:oneCellAnchor>
    <xdr:from>
      <xdr:col>12</xdr:col>
      <xdr:colOff>57150</xdr:colOff>
      <xdr:row>38</xdr:row>
      <xdr:rowOff>123825</xdr:rowOff>
    </xdr:from>
    <xdr:ext cx="1247775" cy="1066800"/>
    <xdr:pic>
      <xdr:nvPicPr>
        <xdr:cNvPr id="5" name="图片 5"/>
        <xdr:cNvPicPr/>
      </xdr:nvPicPr>
      <xdr:blipFill>
        <a:blip r:embed="rId5"/>
        <a:stretch>
          <a:fillRect/>
        </a:stretch>
      </xdr:blipFill>
      <xdr:spPr>
        <a:xfrm>
          <a:off x="19843750" y="23202900"/>
          <a:ext cx="1247775" cy="1066800"/>
        </a:xfrm>
        <a:prstGeom prst="rect"/>
      </xdr:spPr>
    </xdr:pic>
    <xdr:clientData/>
  </xdr:oneCellAnchor>
  <xdr:oneCellAnchor>
    <xdr:from>
      <xdr:col>12</xdr:col>
      <xdr:colOff>0</xdr:colOff>
      <xdr:row>39</xdr:row>
      <xdr:rowOff>0</xdr:rowOff>
    </xdr:from>
    <xdr:ext cx="1238250" cy="1076325"/>
    <xdr:pic>
      <xdr:nvPicPr>
        <xdr:cNvPr id="6" name="图片 6"/>
        <xdr:cNvPicPr/>
      </xdr:nvPicPr>
      <xdr:blipFill>
        <a:blip r:embed="rId6"/>
        <a:stretch>
          <a:fillRect/>
        </a:stretch>
      </xdr:blipFill>
      <xdr:spPr>
        <a:xfrm>
          <a:off x="19786600" y="24422100"/>
          <a:ext cx="1238250" cy="1076325"/>
        </a:xfrm>
        <a:prstGeom prst="rect"/>
      </xdr:spPr>
    </xdr:pic>
    <xdr:clientData/>
  </xdr:oneCellAnchor>
  <xdr:oneCellAnchor>
    <xdr:from>
      <xdr:col>12</xdr:col>
      <xdr:colOff>0</xdr:colOff>
      <xdr:row>40</xdr:row>
      <xdr:rowOff>0</xdr:rowOff>
    </xdr:from>
    <xdr:ext cx="1257300" cy="1066800"/>
    <xdr:pic>
      <xdr:nvPicPr>
        <xdr:cNvPr id="7" name="图片 7"/>
        <xdr:cNvPicPr/>
      </xdr:nvPicPr>
      <xdr:blipFill>
        <a:blip r:embed="rId7"/>
        <a:stretch>
          <a:fillRect/>
        </a:stretch>
      </xdr:blipFill>
      <xdr:spPr>
        <a:xfrm>
          <a:off x="19786600" y="25469850"/>
          <a:ext cx="1257300" cy="10668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2</xdr:col>
      <xdr:colOff>342900</xdr:colOff>
      <xdr:row>3</xdr:row>
      <xdr:rowOff>219075</xdr:rowOff>
    </xdr:from>
    <xdr:ext cx="1800000" cy="1080000"/>
    <xdr:pic>
      <xdr:nvPicPr>
        <xdr:cNvPr id="1" name="图片 1"/>
        <xdr:cNvPicPr/>
      </xdr:nvPicPr>
      <xdr:blipFill>
        <a:blip r:embed="rId1"/>
        <a:stretch>
          <a:fillRect/>
        </a:stretch>
      </xdr:blipFill>
      <xdr:spPr>
        <a:xfrm>
          <a:off x="4381500" y="1852930"/>
          <a:ext cx="1800000" cy="1080000"/>
        </a:xfrm>
        <a:prstGeom prst="rect"/>
      </xdr:spPr>
    </xdr:pic>
    <xdr:clientData/>
  </xdr:oneCellAnchor>
  <xdr:oneCellAnchor>
    <xdr:from>
      <xdr:col>3</xdr:col>
      <xdr:colOff>371475</xdr:colOff>
      <xdr:row>3</xdr:row>
      <xdr:rowOff>104775</xdr:rowOff>
    </xdr:from>
    <xdr:ext cx="1799590" cy="1199515"/>
    <xdr:pic>
      <xdr:nvPicPr>
        <xdr:cNvPr id="2" name="图片 2"/>
        <xdr:cNvPicPr/>
      </xdr:nvPicPr>
      <xdr:blipFill>
        <a:blip r:embed="rId2"/>
        <a:stretch>
          <a:fillRect/>
        </a:stretch>
      </xdr:blipFill>
      <xdr:spPr>
        <a:xfrm>
          <a:off x="6823075" y="1738630"/>
          <a:ext cx="1799590" cy="1199515"/>
        </a:xfrm>
        <a:prstGeom prst="rect"/>
      </xdr:spPr>
    </xdr:pic>
    <xdr:clientData/>
  </xdr:oneCellAnchor>
  <xdr:oneCellAnchor>
    <xdr:from>
      <xdr:col>4</xdr:col>
      <xdr:colOff>390524</xdr:colOff>
      <xdr:row>3</xdr:row>
      <xdr:rowOff>180976</xdr:rowOff>
    </xdr:from>
    <xdr:ext cx="1800225" cy="1076325"/>
    <xdr:pic>
      <xdr:nvPicPr>
        <xdr:cNvPr id="3" name="图片 3"/>
        <xdr:cNvPicPr/>
      </xdr:nvPicPr>
      <xdr:blipFill>
        <a:blip r:embed="rId3"/>
        <a:stretch>
          <a:fillRect/>
        </a:stretch>
      </xdr:blipFill>
      <xdr:spPr>
        <a:xfrm>
          <a:off x="9254490" y="1814830"/>
          <a:ext cx="1800225" cy="1076325"/>
        </a:xfrm>
        <a:prstGeom prst="rect"/>
      </xdr:spPr>
    </xdr:pic>
    <xdr:clientData/>
  </xdr:oneCellAnchor>
  <xdr:oneCellAnchor>
    <xdr:from>
      <xdr:col>5</xdr:col>
      <xdr:colOff>342899</xdr:colOff>
      <xdr:row>3</xdr:row>
      <xdr:rowOff>152400</xdr:rowOff>
    </xdr:from>
    <xdr:ext cx="1800225" cy="1068070"/>
    <xdr:pic>
      <xdr:nvPicPr>
        <xdr:cNvPr id="4" name="图片 4"/>
        <xdr:cNvPicPr/>
      </xdr:nvPicPr>
      <xdr:blipFill>
        <a:blip r:embed="rId4"/>
        <a:stretch>
          <a:fillRect/>
        </a:stretch>
      </xdr:blipFill>
      <xdr:spPr>
        <a:xfrm>
          <a:off x="11619865" y="1786255"/>
          <a:ext cx="1800225" cy="1068070"/>
        </a:xfrm>
        <a:prstGeom prst="rect"/>
      </xdr:spPr>
    </xdr:pic>
    <xdr:clientData/>
  </xdr:oneCellAnchor>
  <xdr:oneCellAnchor>
    <xdr:from>
      <xdr:col>6</xdr:col>
      <xdr:colOff>317499</xdr:colOff>
      <xdr:row>3</xdr:row>
      <xdr:rowOff>98424</xdr:rowOff>
    </xdr:from>
    <xdr:ext cx="1797050" cy="1183005"/>
    <xdr:pic>
      <xdr:nvPicPr>
        <xdr:cNvPr id="5" name="图片 5"/>
        <xdr:cNvPicPr/>
      </xdr:nvPicPr>
      <xdr:blipFill>
        <a:blip r:embed="rId5"/>
        <a:stretch>
          <a:fillRect/>
        </a:stretch>
      </xdr:blipFill>
      <xdr:spPr>
        <a:xfrm>
          <a:off x="14007465" y="1731645"/>
          <a:ext cx="1797050" cy="1183005"/>
        </a:xfrm>
        <a:prstGeom prst="rect"/>
      </xdr:spPr>
    </xdr:pic>
    <xdr:clientData/>
  </xdr:oneCellAnchor>
  <xdr:oneCellAnchor>
    <xdr:from>
      <xdr:col>7</xdr:col>
      <xdr:colOff>250824</xdr:colOff>
      <xdr:row>3</xdr:row>
      <xdr:rowOff>190500</xdr:rowOff>
    </xdr:from>
    <xdr:ext cx="1797050" cy="1099820"/>
    <xdr:pic>
      <xdr:nvPicPr>
        <xdr:cNvPr id="6" name="图片 6"/>
        <xdr:cNvPicPr/>
      </xdr:nvPicPr>
      <xdr:blipFill>
        <a:blip r:embed="rId6"/>
        <a:stretch>
          <a:fillRect/>
        </a:stretch>
      </xdr:blipFill>
      <xdr:spPr>
        <a:xfrm>
          <a:off x="16353790" y="1824355"/>
          <a:ext cx="1797050" cy="1099820"/>
        </a:xfrm>
        <a:prstGeom prst="rect"/>
      </xdr:spPr>
    </xdr:pic>
    <xdr:clientData/>
  </xdr:oneCellAnchor>
  <xdr:oneCellAnchor>
    <xdr:from>
      <xdr:col>8</xdr:col>
      <xdr:colOff>384174</xdr:colOff>
      <xdr:row>3</xdr:row>
      <xdr:rowOff>266700</xdr:rowOff>
    </xdr:from>
    <xdr:ext cx="1797050" cy="1124585"/>
    <xdr:pic>
      <xdr:nvPicPr>
        <xdr:cNvPr id="7" name="图片 7"/>
        <xdr:cNvPicPr/>
      </xdr:nvPicPr>
      <xdr:blipFill>
        <a:blip r:embed="rId7"/>
        <a:stretch>
          <a:fillRect/>
        </a:stretch>
      </xdr:blipFill>
      <xdr:spPr>
        <a:xfrm>
          <a:off x="18900140" y="1900555"/>
          <a:ext cx="1797050" cy="1124585"/>
        </a:xfrm>
        <a:prstGeom prst="rect"/>
      </xdr:spPr>
    </xdr:pic>
    <xdr:clientData/>
  </xdr:oneCellAnchor>
  <xdr:oneCellAnchor>
    <xdr:from>
      <xdr:col>9</xdr:col>
      <xdr:colOff>412749</xdr:colOff>
      <xdr:row>3</xdr:row>
      <xdr:rowOff>98424</xdr:rowOff>
    </xdr:from>
    <xdr:ext cx="1797050" cy="1129665"/>
    <xdr:pic>
      <xdr:nvPicPr>
        <xdr:cNvPr id="8" name="图片 8"/>
        <xdr:cNvPicPr/>
      </xdr:nvPicPr>
      <xdr:blipFill>
        <a:blip r:embed="rId8"/>
        <a:stretch>
          <a:fillRect/>
        </a:stretch>
      </xdr:blipFill>
      <xdr:spPr>
        <a:xfrm>
          <a:off x="21341715" y="1731645"/>
          <a:ext cx="1797050" cy="1129665"/>
        </a:xfrm>
        <a:prstGeom prst="rect"/>
      </xdr:spPr>
    </xdr:pic>
    <xdr:clientData/>
  </xdr:oneCellAnchor>
  <xdr:oneCellAnchor>
    <xdr:from>
      <xdr:col>10</xdr:col>
      <xdr:colOff>355599</xdr:colOff>
      <xdr:row>3</xdr:row>
      <xdr:rowOff>123825</xdr:rowOff>
    </xdr:from>
    <xdr:ext cx="1797050" cy="1247140"/>
    <xdr:pic>
      <xdr:nvPicPr>
        <xdr:cNvPr id="9" name="图片 9"/>
        <xdr:cNvPicPr/>
      </xdr:nvPicPr>
      <xdr:blipFill>
        <a:blip r:embed="rId9"/>
        <a:stretch>
          <a:fillRect/>
        </a:stretch>
      </xdr:blipFill>
      <xdr:spPr>
        <a:xfrm>
          <a:off x="23697565" y="1757680"/>
          <a:ext cx="1797050" cy="1247140"/>
        </a:xfrm>
        <a:prstGeom prst="rect"/>
      </xdr:spPr>
    </xdr:pic>
    <xdr:clientData/>
  </xdr:oneCellAnchor>
  <xdr:oneCellAnchor>
    <xdr:from>
      <xdr:col>11</xdr:col>
      <xdr:colOff>314325</xdr:colOff>
      <xdr:row>3</xdr:row>
      <xdr:rowOff>219075</xdr:rowOff>
    </xdr:from>
    <xdr:ext cx="1799590" cy="1053465"/>
    <xdr:pic>
      <xdr:nvPicPr>
        <xdr:cNvPr id="10" name="图片 10"/>
        <xdr:cNvPicPr/>
      </xdr:nvPicPr>
      <xdr:blipFill>
        <a:blip r:embed="rId10"/>
        <a:stretch>
          <a:fillRect/>
        </a:stretch>
      </xdr:blipFill>
      <xdr:spPr>
        <a:xfrm>
          <a:off x="26069925" y="1852930"/>
          <a:ext cx="1799590" cy="1053465"/>
        </a:xfrm>
        <a:prstGeom prst="rect"/>
      </xdr:spPr>
    </xdr:pic>
    <xdr:clientData/>
  </xdr:oneCellAnchor>
  <xdr:oneCellAnchor>
    <xdr:from>
      <xdr:col>12</xdr:col>
      <xdr:colOff>304800</xdr:colOff>
      <xdr:row>3</xdr:row>
      <xdr:rowOff>60324</xdr:rowOff>
    </xdr:from>
    <xdr:ext cx="1799590" cy="1158240"/>
    <xdr:pic>
      <xdr:nvPicPr>
        <xdr:cNvPr id="11" name="图片 11"/>
        <xdr:cNvPicPr/>
      </xdr:nvPicPr>
      <xdr:blipFill>
        <a:blip r:embed="rId11"/>
        <a:stretch>
          <a:fillRect/>
        </a:stretch>
      </xdr:blipFill>
      <xdr:spPr>
        <a:xfrm>
          <a:off x="28473400" y="1693545"/>
          <a:ext cx="1799590" cy="1158240"/>
        </a:xfrm>
        <a:prstGeom prst="rect"/>
      </xdr:spPr>
    </xdr:pic>
    <xdr:clientData/>
  </xdr:oneCellAnchor>
  <xdr:oneCellAnchor>
    <xdr:from>
      <xdr:col>13</xdr:col>
      <xdr:colOff>571501</xdr:colOff>
      <xdr:row>3</xdr:row>
      <xdr:rowOff>203199</xdr:rowOff>
    </xdr:from>
    <xdr:ext cx="1175385" cy="1080135"/>
    <xdr:pic>
      <xdr:nvPicPr>
        <xdr:cNvPr id="12" name="图片 12"/>
        <xdr:cNvPicPr/>
      </xdr:nvPicPr>
      <xdr:blipFill>
        <a:blip r:embed="rId12"/>
        <a:stretch>
          <a:fillRect/>
        </a:stretch>
      </xdr:blipFill>
      <xdr:spPr>
        <a:xfrm>
          <a:off x="31153100" y="1836420"/>
          <a:ext cx="1175385" cy="1080135"/>
        </a:xfrm>
        <a:prstGeom prst="rect"/>
      </xdr:spPr>
    </xdr:pic>
    <xdr:clientData/>
  </xdr:oneCellAnchor>
  <xdr:oneCellAnchor>
    <xdr:from>
      <xdr:col>14</xdr:col>
      <xdr:colOff>619125</xdr:colOff>
      <xdr:row>3</xdr:row>
      <xdr:rowOff>35502</xdr:rowOff>
    </xdr:from>
    <xdr:ext cx="1143000" cy="736600"/>
    <xdr:pic>
      <xdr:nvPicPr>
        <xdr:cNvPr id="13" name="图片 13"/>
        <xdr:cNvPicPr/>
      </xdr:nvPicPr>
      <xdr:blipFill>
        <a:blip r:embed="rId13"/>
        <a:stretch>
          <a:fillRect/>
        </a:stretch>
      </xdr:blipFill>
      <xdr:spPr>
        <a:xfrm>
          <a:off x="33613725" y="1668780"/>
          <a:ext cx="1143000" cy="736600"/>
        </a:xfrm>
        <a:prstGeom prst="rect"/>
      </xdr:spPr>
    </xdr:pic>
    <xdr:clientData/>
  </xdr:oneCellAnchor>
  <xdr:oneCellAnchor>
    <xdr:from>
      <xdr:col>15</xdr:col>
      <xdr:colOff>600229</xdr:colOff>
      <xdr:row>3</xdr:row>
      <xdr:rowOff>57245</xdr:rowOff>
    </xdr:from>
    <xdr:ext cx="1114425" cy="690880"/>
    <xdr:pic>
      <xdr:nvPicPr>
        <xdr:cNvPr id="14" name="图片 14"/>
        <xdr:cNvPicPr/>
      </xdr:nvPicPr>
      <xdr:blipFill>
        <a:blip r:embed="rId14"/>
        <a:stretch>
          <a:fillRect/>
        </a:stretch>
      </xdr:blipFill>
      <xdr:spPr>
        <a:xfrm>
          <a:off x="35588575" y="1691005"/>
          <a:ext cx="1114425" cy="690880"/>
        </a:xfrm>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B3" activePane="bottomRight" state="frozen" xSplit="1" ySplit="2"/>
    </sheetView>
  </sheetViews>
  <sheetFormatPr baseColWidth="10" defaultColWidth="8.8330078125" defaultRowHeight="14.25" customHeight="1"/>
  <cols>
    <col min="1" max="1" width="21.6650390625" customWidth="1" style="112"/>
    <col min="2" max="2" width="24.6650390625" customWidth="1" style="113"/>
    <col min="3" max="3" width="64.6640625" customWidth="1" style="113"/>
    <col min="4" max="4" width="29.4990234375" customWidth="1" style="223"/>
    <col min="5" max="5" width="60.6650390625" customWidth="1" style="223"/>
    <col min="6" max="6" width="83.8330078125" customWidth="1" style="113"/>
  </cols>
  <sheetData>
    <row r="1" ht="14.25" customHeight="1">
      <c r="A1" s="224" t="s">
        <v>0</v>
      </c>
      <c r="B1" s="820" t="s">
        <v>1</v>
      </c>
      <c r="C1" s="820"/>
      <c r="D1" s="820" t="s">
        <v>2</v>
      </c>
      <c r="E1" s="820"/>
      <c r="F1" s="224" t="s">
        <v>3</v>
      </c>
    </row>
    <row r="2" ht="15.75" customHeight="1">
      <c r="A2" s="225" t="s">
        <v>4</v>
      </c>
      <c r="B2" s="821" t="s">
        <v>5</v>
      </c>
      <c r="C2" s="821"/>
      <c r="D2" s="821" t="s">
        <v>5</v>
      </c>
      <c r="E2" s="821"/>
      <c r="F2" s="225" t="s">
        <v>5</v>
      </c>
    </row>
    <row r="3" ht="30" customHeight="1">
      <c r="A3" s="226" t="s">
        <v>6</v>
      </c>
      <c r="B3" s="879" t="s">
        <v>7</v>
      </c>
      <c r="C3" s="879"/>
      <c r="D3" s="857" t="s">
        <v>8</v>
      </c>
      <c r="E3" s="857"/>
      <c r="F3" s="227" t="s">
        <v>9</v>
      </c>
    </row>
    <row r="4" ht="15.75" customHeight="1">
      <c r="A4" s="149" t="s">
        <v>10</v>
      </c>
      <c r="B4" s="820" t="s">
        <v>11</v>
      </c>
      <c r="C4" s="820"/>
      <c r="D4" s="820" t="s">
        <v>11</v>
      </c>
      <c r="E4" s="820"/>
      <c r="F4" s="228"/>
    </row>
    <row r="5" ht="15.75" customHeight="1">
      <c r="A5" s="149" t="s">
        <v>12</v>
      </c>
      <c r="B5" s="820" t="s">
        <v>13</v>
      </c>
      <c r="C5" s="820"/>
      <c r="D5" s="820" t="s">
        <v>13</v>
      </c>
      <c r="E5" s="820"/>
      <c r="F5" s="228"/>
    </row>
    <row r="6" ht="15.75" customHeight="1">
      <c r="A6" s="149" t="s">
        <v>14</v>
      </c>
      <c r="B6" s="820" t="s">
        <v>15</v>
      </c>
      <c r="C6" s="820"/>
      <c r="D6" s="820" t="s">
        <v>15</v>
      </c>
      <c r="E6" s="820"/>
      <c r="F6" s="229"/>
    </row>
    <row r="7" ht="15.75" customHeight="1">
      <c r="A7" s="149" t="s">
        <v>16</v>
      </c>
      <c r="B7" s="820" t="s">
        <v>17</v>
      </c>
      <c r="C7" s="820"/>
      <c r="D7" s="820" t="s">
        <v>17</v>
      </c>
      <c r="E7" s="820"/>
      <c r="F7" s="229"/>
    </row>
    <row r="8" ht="15.75" customHeight="1">
      <c r="A8" s="149" t="s">
        <v>18</v>
      </c>
      <c r="B8" s="844" t="s">
        <v>19</v>
      </c>
      <c r="C8" s="845"/>
      <c r="D8" s="844" t="s">
        <v>19</v>
      </c>
      <c r="E8" s="845"/>
      <c r="F8" s="229"/>
    </row>
    <row r="9" ht="15.75" customHeight="1">
      <c r="A9" s="149" t="s">
        <v>20</v>
      </c>
      <c r="B9" s="844" t="s">
        <v>21</v>
      </c>
      <c r="C9" s="845"/>
      <c r="D9" s="844" t="s">
        <v>21</v>
      </c>
      <c r="E9" s="845"/>
      <c r="F9" s="229"/>
    </row>
    <row r="10" ht="15.75" customHeight="1">
      <c r="A10" s="149" t="s">
        <v>22</v>
      </c>
      <c r="B10" s="820" t="s">
        <v>23</v>
      </c>
      <c r="C10" s="820"/>
      <c r="D10" s="820" t="s">
        <v>23</v>
      </c>
      <c r="E10" s="820"/>
      <c r="F10" s="229"/>
    </row>
    <row r="11" ht="15.75" customHeight="1">
      <c r="A11" s="149" t="s">
        <v>24</v>
      </c>
      <c r="B11" s="820" t="s">
        <v>25</v>
      </c>
      <c r="C11" s="820"/>
      <c r="D11" s="820" t="s">
        <v>25</v>
      </c>
      <c r="E11" s="820"/>
      <c r="F11" s="229"/>
    </row>
    <row r="12" ht="15.75" customHeight="1">
      <c r="A12" s="149" t="s">
        <v>26</v>
      </c>
      <c r="B12" s="820" t="s">
        <v>27</v>
      </c>
      <c r="C12" s="820"/>
      <c r="D12" s="820" t="s">
        <v>27</v>
      </c>
      <c r="E12" s="820"/>
      <c r="F12" s="229"/>
    </row>
    <row r="13" s="256" customFormat="1" ht="15" customHeight="1">
      <c r="A13" s="149" t="s">
        <v>28</v>
      </c>
      <c r="B13" s="874" t="s">
        <v>29</v>
      </c>
      <c r="C13" s="874"/>
      <c r="D13" s="874" t="s">
        <v>29</v>
      </c>
      <c r="E13" s="874"/>
      <c r="F13" s="229"/>
    </row>
    <row r="14" ht="44.25" customHeight="1">
      <c r="A14" s="826" t="s">
        <v>30</v>
      </c>
      <c r="B14" s="858" t="s">
        <v>31</v>
      </c>
      <c r="C14" s="859"/>
      <c r="D14" s="849" t="s">
        <v>32</v>
      </c>
      <c r="E14" s="850"/>
      <c r="F14" s="841" t="s">
        <v>33</v>
      </c>
    </row>
    <row r="15" ht="15.75" customHeight="1">
      <c r="A15" s="826"/>
      <c r="B15" s="858" t="s">
        <v>34</v>
      </c>
      <c r="C15" s="859"/>
      <c r="D15" s="849" t="s">
        <v>35</v>
      </c>
      <c r="E15" s="850"/>
      <c r="F15" s="842"/>
    </row>
    <row r="16" ht="15.75" customHeight="1">
      <c r="A16" s="826"/>
      <c r="B16" s="858" t="s">
        <v>36</v>
      </c>
      <c r="C16" s="859"/>
      <c r="D16" s="849" t="s">
        <v>37</v>
      </c>
      <c r="E16" s="850"/>
      <c r="F16" s="842"/>
    </row>
    <row r="17" s="251" customFormat="1" ht="95.25" customHeight="1">
      <c r="A17" s="827"/>
      <c r="B17" s="871" t="s">
        <v>38</v>
      </c>
      <c r="C17" s="872"/>
      <c r="D17" s="871" t="s">
        <v>38</v>
      </c>
      <c r="E17" s="872"/>
      <c r="F17" s="843"/>
    </row>
    <row r="18" ht="15.75" customHeight="1">
      <c r="A18" s="149" t="s">
        <v>39</v>
      </c>
      <c r="B18" s="828" t="s">
        <v>40</v>
      </c>
      <c r="C18" s="817"/>
      <c r="D18" s="828" t="s">
        <v>40</v>
      </c>
      <c r="E18" s="817"/>
      <c r="F18" s="229"/>
    </row>
    <row r="19" ht="42.75" customHeight="1">
      <c r="A19" s="226" t="s">
        <v>41</v>
      </c>
      <c r="B19" s="857" t="s">
        <v>42</v>
      </c>
      <c r="C19" s="857"/>
      <c r="D19" s="857" t="s">
        <v>43</v>
      </c>
      <c r="E19" s="857"/>
      <c r="F19" s="252" t="s">
        <v>44</v>
      </c>
    </row>
    <row r="20" ht="15.75" customHeight="1">
      <c r="A20" s="232" t="s">
        <v>45</v>
      </c>
      <c r="B20" s="820" t="s">
        <v>46</v>
      </c>
      <c r="C20" s="820"/>
      <c r="D20" s="820" t="s">
        <v>46</v>
      </c>
      <c r="E20" s="820"/>
      <c r="F20" s="228"/>
    </row>
    <row r="21" ht="15.75" customHeight="1">
      <c r="A21" s="226" t="s">
        <v>47</v>
      </c>
      <c r="B21" s="857" t="s">
        <v>48</v>
      </c>
      <c r="C21" s="857"/>
      <c r="D21" s="857" t="s">
        <v>49</v>
      </c>
      <c r="E21" s="857"/>
      <c r="F21" s="228" t="s">
        <v>50</v>
      </c>
    </row>
    <row r="22" ht="82.5" customHeight="1">
      <c r="A22" s="226" t="s">
        <v>51</v>
      </c>
      <c r="B22" s="857" t="s">
        <v>52</v>
      </c>
      <c r="C22" s="857"/>
      <c r="D22" s="857" t="s">
        <v>53</v>
      </c>
      <c r="E22" s="857"/>
      <c r="F22" s="253" t="s">
        <v>54</v>
      </c>
    </row>
    <row r="23" ht="15.75" customHeight="1">
      <c r="A23" s="149" t="s">
        <v>55</v>
      </c>
      <c r="B23" s="820" t="s">
        <v>56</v>
      </c>
      <c r="C23" s="820"/>
      <c r="D23" s="820" t="s">
        <v>56</v>
      </c>
      <c r="E23" s="820"/>
      <c r="F23" s="228"/>
    </row>
    <row r="24" ht="15.75" customHeight="1">
      <c r="A24" s="149" t="s">
        <v>57</v>
      </c>
      <c r="B24" s="820" t="s">
        <v>58</v>
      </c>
      <c r="C24" s="820"/>
      <c r="D24" s="820" t="s">
        <v>58</v>
      </c>
      <c r="E24" s="820"/>
      <c r="F24" s="233"/>
    </row>
    <row r="25" ht="15.75" customHeight="1">
      <c r="A25" s="144" t="s">
        <v>59</v>
      </c>
      <c r="B25" s="844" t="s">
        <v>60</v>
      </c>
      <c r="C25" s="875"/>
      <c r="D25" s="844" t="s">
        <v>60</v>
      </c>
      <c r="E25" s="875"/>
      <c r="F25" s="233"/>
    </row>
    <row r="26" ht="15.75" customHeight="1">
      <c r="A26" s="835" t="s">
        <v>61</v>
      </c>
      <c r="B26" s="149" t="s">
        <v>62</v>
      </c>
      <c r="C26" s="231" t="n">
        <v>180</v>
      </c>
      <c r="D26" s="149" t="s">
        <v>62</v>
      </c>
      <c r="E26" s="231" t="n">
        <v>180</v>
      </c>
      <c r="F26" s="229"/>
    </row>
    <row r="27" ht="15.75" customHeight="1">
      <c r="A27" s="836"/>
      <c r="B27" s="149" t="s">
        <v>63</v>
      </c>
      <c r="C27" s="231" t="n">
        <v>180</v>
      </c>
      <c r="D27" s="149" t="s">
        <v>63</v>
      </c>
      <c r="E27" s="231" t="n">
        <v>180</v>
      </c>
      <c r="F27" s="229"/>
    </row>
    <row r="28" ht="15.75" customHeight="1">
      <c r="A28" s="836"/>
      <c r="B28" s="149" t="s">
        <v>64</v>
      </c>
      <c r="C28" s="231" t="n">
        <v>180</v>
      </c>
      <c r="D28" s="149" t="s">
        <v>64</v>
      </c>
      <c r="E28" s="231" t="n">
        <v>180</v>
      </c>
      <c r="F28" s="229"/>
    </row>
    <row r="29" ht="15.75" customHeight="1">
      <c r="A29" s="836"/>
      <c r="B29" s="149" t="s">
        <v>65</v>
      </c>
      <c r="C29" s="231" t="n">
        <v>180</v>
      </c>
      <c r="D29" s="149" t="s">
        <v>65</v>
      </c>
      <c r="E29" s="231" t="n">
        <v>180</v>
      </c>
      <c r="F29" s="229"/>
    </row>
    <row r="30" ht="15.75" customHeight="1">
      <c r="A30" s="836"/>
      <c r="B30" s="149" t="s">
        <v>66</v>
      </c>
      <c r="C30" s="231" t="n">
        <v>180</v>
      </c>
      <c r="D30" s="149" t="s">
        <v>66</v>
      </c>
      <c r="E30" s="231" t="n">
        <v>180</v>
      </c>
      <c r="F30" s="229"/>
    </row>
    <row r="31" ht="15.75" customHeight="1">
      <c r="A31" s="836"/>
      <c r="B31" s="149" t="s">
        <v>67</v>
      </c>
      <c r="C31" s="231" t="n">
        <v>180</v>
      </c>
      <c r="D31" s="149" t="s">
        <v>67</v>
      </c>
      <c r="E31" s="231" t="n">
        <v>180</v>
      </c>
      <c r="F31" s="229"/>
    </row>
    <row r="32" ht="15.75" customHeight="1">
      <c r="A32" s="851"/>
      <c r="B32" s="149" t="s">
        <v>68</v>
      </c>
      <c r="C32" s="231" t="n">
        <v>180</v>
      </c>
      <c r="D32" s="149" t="s">
        <v>68</v>
      </c>
      <c r="E32" s="231" t="n">
        <v>180</v>
      </c>
      <c r="F32" s="229"/>
    </row>
    <row r="33" ht="15.75" customHeight="1">
      <c r="A33" s="835" t="s">
        <v>69</v>
      </c>
      <c r="B33" s="149" t="s">
        <v>70</v>
      </c>
      <c r="C33" s="231" t="s">
        <v>71</v>
      </c>
      <c r="D33" s="149" t="s">
        <v>70</v>
      </c>
      <c r="E33" s="231" t="s">
        <v>71</v>
      </c>
      <c r="F33" s="229"/>
    </row>
    <row r="34" ht="15.75" customHeight="1">
      <c r="A34" s="836"/>
      <c r="B34" s="149" t="s">
        <v>72</v>
      </c>
      <c r="C34" s="231" t="s">
        <v>73</v>
      </c>
      <c r="D34" s="149" t="s">
        <v>72</v>
      </c>
      <c r="E34" s="231" t="s">
        <v>73</v>
      </c>
      <c r="F34" s="229"/>
    </row>
    <row r="35" ht="15.75" customHeight="1">
      <c r="A35" s="836"/>
      <c r="B35" s="149" t="s">
        <v>74</v>
      </c>
      <c r="C35" s="231" t="s">
        <v>71</v>
      </c>
      <c r="D35" s="149" t="s">
        <v>74</v>
      </c>
      <c r="E35" s="231" t="s">
        <v>71</v>
      </c>
      <c r="F35" s="229"/>
    </row>
    <row r="36" ht="15.75" customHeight="1">
      <c r="A36" s="836"/>
      <c r="B36" s="149" t="s">
        <v>75</v>
      </c>
      <c r="C36" s="231" t="s">
        <v>71</v>
      </c>
      <c r="D36" s="149" t="s">
        <v>75</v>
      </c>
      <c r="E36" s="231" t="s">
        <v>71</v>
      </c>
      <c r="F36" s="229"/>
    </row>
    <row r="37" ht="15.75" customHeight="1">
      <c r="A37" s="836"/>
      <c r="B37" s="149" t="s">
        <v>76</v>
      </c>
      <c r="C37" s="231" t="s">
        <v>71</v>
      </c>
      <c r="D37" s="149" t="s">
        <v>76</v>
      </c>
      <c r="E37" s="231" t="s">
        <v>71</v>
      </c>
      <c r="F37" s="229"/>
    </row>
    <row r="38" ht="15.75" customHeight="1">
      <c r="A38" s="836"/>
      <c r="B38" s="149" t="s">
        <v>77</v>
      </c>
      <c r="C38" s="231" t="s">
        <v>78</v>
      </c>
      <c r="D38" s="149" t="s">
        <v>77</v>
      </c>
      <c r="E38" s="231" t="s">
        <v>78</v>
      </c>
      <c r="F38" s="229"/>
    </row>
    <row r="39" ht="15.75" customHeight="1">
      <c r="A39" s="851"/>
      <c r="B39" s="149" t="s">
        <v>79</v>
      </c>
      <c r="C39" s="231" t="s">
        <v>71</v>
      </c>
      <c r="D39" s="149" t="s">
        <v>79</v>
      </c>
      <c r="E39" s="231" t="s">
        <v>71</v>
      </c>
      <c r="F39" s="228"/>
    </row>
    <row r="40" ht="43.5" customHeight="1">
      <c r="A40" s="835" t="s">
        <v>80</v>
      </c>
      <c r="B40" s="149" t="s">
        <v>81</v>
      </c>
      <c r="C40" s="231" t="n">
        <v>100</v>
      </c>
      <c r="D40" s="149" t="s">
        <v>81</v>
      </c>
      <c r="E40" s="231" t="n">
        <v>100</v>
      </c>
      <c r="F40" s="227" t="s">
        <v>82</v>
      </c>
    </row>
    <row r="41" ht="15.75" customHeight="1">
      <c r="A41" s="836"/>
      <c r="B41" s="149" t="s">
        <v>83</v>
      </c>
      <c r="C41" s="231" t="n">
        <v>100</v>
      </c>
      <c r="D41" s="149" t="s">
        <v>83</v>
      </c>
      <c r="E41" s="231" t="n">
        <v>100</v>
      </c>
      <c r="F41" s="228"/>
    </row>
    <row r="42" ht="15.75" customHeight="1">
      <c r="A42" s="836"/>
      <c r="B42" s="149" t="s">
        <v>84</v>
      </c>
      <c r="C42" s="231" t="n">
        <v>100</v>
      </c>
      <c r="D42" s="149" t="s">
        <v>84</v>
      </c>
      <c r="E42" s="231" t="n">
        <v>100</v>
      </c>
      <c r="F42" s="228"/>
    </row>
    <row r="43" ht="15.75" customHeight="1">
      <c r="A43" s="836"/>
      <c r="B43" s="149" t="s">
        <v>85</v>
      </c>
      <c r="C43" s="231" t="n">
        <v>100</v>
      </c>
      <c r="D43" s="149" t="s">
        <v>85</v>
      </c>
      <c r="E43" s="231" t="n">
        <v>100</v>
      </c>
      <c r="F43" s="228"/>
    </row>
    <row r="44" ht="15.75" customHeight="1">
      <c r="A44" s="836"/>
      <c r="B44" s="149" t="s">
        <v>86</v>
      </c>
      <c r="C44" s="231" t="n">
        <v>100</v>
      </c>
      <c r="D44" s="149" t="s">
        <v>86</v>
      </c>
      <c r="E44" s="231" t="n">
        <v>100</v>
      </c>
      <c r="F44" s="228"/>
    </row>
    <row r="45" ht="15.75" customHeight="1">
      <c r="A45" s="836"/>
      <c r="B45" s="149" t="s">
        <v>87</v>
      </c>
      <c r="C45" s="231" t="n">
        <v>100</v>
      </c>
      <c r="D45" s="149" t="s">
        <v>87</v>
      </c>
      <c r="E45" s="231" t="n">
        <v>100</v>
      </c>
      <c r="F45" s="228"/>
    </row>
    <row r="46" ht="15.75" customHeight="1">
      <c r="A46" s="851"/>
      <c r="B46" s="149" t="s">
        <v>88</v>
      </c>
      <c r="C46" s="231" t="n">
        <v>100</v>
      </c>
      <c r="D46" s="149" t="s">
        <v>88</v>
      </c>
      <c r="E46" s="231" t="n">
        <v>100</v>
      </c>
      <c r="F46" s="228"/>
    </row>
    <row r="47" ht="15.75" customHeight="1">
      <c r="A47" s="828" t="s">
        <v>89</v>
      </c>
      <c r="B47" s="149" t="s">
        <v>90</v>
      </c>
      <c r="C47" s="231" t="s">
        <v>91</v>
      </c>
      <c r="D47" s="149" t="s">
        <v>90</v>
      </c>
      <c r="E47" s="231" t="s">
        <v>91</v>
      </c>
      <c r="F47" s="234"/>
    </row>
    <row r="48" ht="15.75" customHeight="1">
      <c r="A48" s="828"/>
      <c r="B48" s="149" t="s">
        <v>92</v>
      </c>
      <c r="C48" s="231" t="s">
        <v>93</v>
      </c>
      <c r="D48" s="149" t="s">
        <v>92</v>
      </c>
      <c r="E48" s="231" t="s">
        <v>93</v>
      </c>
      <c r="F48" s="228"/>
    </row>
    <row r="49" ht="30" customHeight="1">
      <c r="A49" s="828"/>
      <c r="B49" s="1121" t="s">
        <v>94</v>
      </c>
      <c r="C49" s="235" t="s">
        <v>95</v>
      </c>
      <c r="D49" s="1122" t="s">
        <v>94</v>
      </c>
      <c r="E49" s="235" t="s">
        <v>95</v>
      </c>
      <c r="F49" s="228"/>
    </row>
    <row r="50" ht="15.75" customHeight="1">
      <c r="A50" s="828"/>
      <c r="B50" s="846" t="s">
        <v>96</v>
      </c>
      <c r="C50" s="236" t="s">
        <v>97</v>
      </c>
      <c r="D50" s="846" t="s">
        <v>96</v>
      </c>
      <c r="E50" s="236" t="s">
        <v>97</v>
      </c>
      <c r="F50" s="860" t="s">
        <v>98</v>
      </c>
    </row>
    <row r="51" ht="15.75" customHeight="1">
      <c r="A51" s="828"/>
      <c r="B51" s="846"/>
      <c r="C51" s="236" t="s">
        <v>99</v>
      </c>
      <c r="D51" s="846"/>
      <c r="E51" s="236" t="s">
        <v>99</v>
      </c>
      <c r="F51" s="861"/>
    </row>
    <row r="52" ht="15.75" customHeight="1">
      <c r="A52" s="828"/>
      <c r="B52" s="846" t="s">
        <v>100</v>
      </c>
      <c r="C52" s="236" t="s">
        <v>101</v>
      </c>
      <c r="D52" s="846" t="s">
        <v>100</v>
      </c>
      <c r="E52" s="236" t="s">
        <v>101</v>
      </c>
      <c r="F52" s="861"/>
    </row>
    <row r="53" ht="15.75" customHeight="1">
      <c r="A53" s="828"/>
      <c r="B53" s="846"/>
      <c r="C53" s="236" t="s">
        <v>102</v>
      </c>
      <c r="D53" s="846"/>
      <c r="E53" s="236" t="s">
        <v>102</v>
      </c>
      <c r="F53" s="862"/>
    </row>
    <row r="54" ht="15.75" customHeight="1">
      <c r="A54" s="828"/>
      <c r="B54" s="828" t="s">
        <v>103</v>
      </c>
      <c r="C54" s="231" t="s">
        <v>104</v>
      </c>
      <c r="D54" s="828" t="s">
        <v>103</v>
      </c>
      <c r="E54" s="231" t="s">
        <v>104</v>
      </c>
      <c r="F54" s="228"/>
    </row>
    <row r="55" ht="15.75" customHeight="1">
      <c r="A55" s="828"/>
      <c r="B55" s="828"/>
      <c r="C55" s="231" t="s">
        <v>105</v>
      </c>
      <c r="D55" s="828"/>
      <c r="E55" s="231" t="s">
        <v>105</v>
      </c>
      <c r="F55" s="228"/>
    </row>
    <row r="56" ht="15.75" customHeight="1">
      <c r="A56" s="828"/>
      <c r="B56" s="828"/>
      <c r="C56" s="231" t="s">
        <v>106</v>
      </c>
      <c r="D56" s="828"/>
      <c r="E56" s="231" t="s">
        <v>106</v>
      </c>
      <c r="F56" s="228"/>
    </row>
    <row r="57" ht="15.75" customHeight="1">
      <c r="A57" s="828"/>
      <c r="B57" s="828"/>
      <c r="C57" s="231" t="s">
        <v>107</v>
      </c>
      <c r="D57" s="828"/>
      <c r="E57" s="231" t="s">
        <v>107</v>
      </c>
      <c r="F57" s="228"/>
    </row>
    <row r="58" ht="15.75" customHeight="1">
      <c r="A58" s="828"/>
      <c r="B58" s="828"/>
      <c r="C58" s="231" t="s">
        <v>108</v>
      </c>
      <c r="D58" s="828"/>
      <c r="E58" s="231" t="s">
        <v>108</v>
      </c>
      <c r="F58" s="228"/>
    </row>
    <row r="59" ht="15.75" customHeight="1">
      <c r="A59" s="828"/>
      <c r="B59" s="828"/>
      <c r="C59" s="231" t="s">
        <v>109</v>
      </c>
      <c r="D59" s="828"/>
      <c r="E59" s="231" t="s">
        <v>109</v>
      </c>
      <c r="F59" s="228"/>
    </row>
    <row r="60" ht="15.75" customHeight="1">
      <c r="A60" s="828"/>
      <c r="B60" s="828"/>
      <c r="C60" s="231" t="s">
        <v>110</v>
      </c>
      <c r="D60" s="828"/>
      <c r="E60" s="231" t="s">
        <v>110</v>
      </c>
      <c r="F60" s="228"/>
    </row>
    <row r="61" ht="15.75" customHeight="1">
      <c r="A61" s="828"/>
      <c r="B61" s="828" t="s">
        <v>111</v>
      </c>
      <c r="C61" s="231" t="s">
        <v>112</v>
      </c>
      <c r="D61" s="828" t="s">
        <v>111</v>
      </c>
      <c r="E61" s="231" t="s">
        <v>112</v>
      </c>
      <c r="F61" s="228"/>
    </row>
    <row r="62" ht="15.75" customHeight="1">
      <c r="A62" s="828"/>
      <c r="B62" s="828"/>
      <c r="C62" s="231" t="s">
        <v>113</v>
      </c>
      <c r="D62" s="828"/>
      <c r="E62" s="231" t="s">
        <v>113</v>
      </c>
      <c r="F62" s="228"/>
    </row>
    <row r="63" ht="15.75" customHeight="1">
      <c r="A63" s="828"/>
      <c r="B63" s="828"/>
      <c r="C63" s="231" t="s">
        <v>114</v>
      </c>
      <c r="D63" s="828"/>
      <c r="E63" s="231" t="s">
        <v>114</v>
      </c>
      <c r="F63" s="228"/>
    </row>
    <row r="64" ht="15.75" customHeight="1">
      <c r="A64" s="828"/>
      <c r="B64" s="828"/>
      <c r="C64" s="231" t="s">
        <v>115</v>
      </c>
      <c r="D64" s="828"/>
      <c r="E64" s="231" t="s">
        <v>115</v>
      </c>
      <c r="F64" s="228"/>
    </row>
    <row r="65" ht="15.75" customHeight="1">
      <c r="A65" s="828"/>
      <c r="B65" s="828"/>
      <c r="C65" s="231" t="s">
        <v>116</v>
      </c>
      <c r="D65" s="828"/>
      <c r="E65" s="231" t="s">
        <v>116</v>
      </c>
      <c r="F65" s="228"/>
    </row>
    <row r="66" ht="15.75" customHeight="1">
      <c r="A66" s="828"/>
      <c r="B66" s="828"/>
      <c r="C66" s="231" t="s">
        <v>117</v>
      </c>
      <c r="D66" s="828"/>
      <c r="E66" s="231" t="s">
        <v>117</v>
      </c>
      <c r="F66" s="228"/>
    </row>
    <row r="67" ht="15.75" customHeight="1">
      <c r="A67" s="828"/>
      <c r="B67" s="828" t="s">
        <v>118</v>
      </c>
      <c r="C67" s="231" t="s">
        <v>112</v>
      </c>
      <c r="D67" s="828" t="s">
        <v>118</v>
      </c>
      <c r="E67" s="231" t="s">
        <v>112</v>
      </c>
      <c r="F67" s="228"/>
    </row>
    <row r="68" ht="15.75" customHeight="1">
      <c r="A68" s="828"/>
      <c r="B68" s="828"/>
      <c r="C68" s="231" t="s">
        <v>119</v>
      </c>
      <c r="D68" s="828"/>
      <c r="E68" s="231" t="s">
        <v>119</v>
      </c>
      <c r="F68" s="228"/>
    </row>
    <row r="69" ht="15.75" customHeight="1">
      <c r="A69" s="828"/>
      <c r="B69" s="828"/>
      <c r="C69" s="231" t="s">
        <v>114</v>
      </c>
      <c r="D69" s="828"/>
      <c r="E69" s="231" t="s">
        <v>114</v>
      </c>
      <c r="F69" s="228"/>
    </row>
    <row r="70" ht="15.75" customHeight="1">
      <c r="A70" s="828"/>
      <c r="B70" s="828"/>
      <c r="C70" s="231" t="s">
        <v>115</v>
      </c>
      <c r="D70" s="828"/>
      <c r="E70" s="231" t="s">
        <v>115</v>
      </c>
      <c r="F70" s="228"/>
    </row>
    <row r="71" ht="15.75" customHeight="1">
      <c r="A71" s="828"/>
      <c r="B71" s="828"/>
      <c r="C71" s="231" t="s">
        <v>116</v>
      </c>
      <c r="D71" s="828"/>
      <c r="E71" s="231" t="s">
        <v>116</v>
      </c>
      <c r="F71" s="228"/>
    </row>
    <row r="72" ht="15.75" customHeight="1">
      <c r="A72" s="828"/>
      <c r="B72" s="828"/>
      <c r="C72" s="231" t="s">
        <v>117</v>
      </c>
      <c r="D72" s="828"/>
      <c r="E72" s="231" t="s">
        <v>117</v>
      </c>
      <c r="F72" s="228"/>
    </row>
    <row r="73" ht="15.75" customHeight="1">
      <c r="A73" s="828"/>
      <c r="B73" s="828" t="s">
        <v>120</v>
      </c>
      <c r="C73" s="231" t="s">
        <v>112</v>
      </c>
      <c r="D73" s="828" t="s">
        <v>120</v>
      </c>
      <c r="E73" s="231" t="s">
        <v>112</v>
      </c>
      <c r="F73" s="228"/>
    </row>
    <row r="74" ht="15.75" customHeight="1">
      <c r="A74" s="828"/>
      <c r="B74" s="828"/>
      <c r="C74" s="231" t="s">
        <v>119</v>
      </c>
      <c r="D74" s="828"/>
      <c r="E74" s="231" t="s">
        <v>119</v>
      </c>
      <c r="F74" s="228"/>
    </row>
    <row r="75" s="220" customFormat="1" ht="15" customHeight="1">
      <c r="A75" s="828"/>
      <c r="B75" s="828"/>
      <c r="C75" s="231" t="s">
        <v>114</v>
      </c>
      <c r="D75" s="828"/>
      <c r="E75" s="231" t="s">
        <v>114</v>
      </c>
      <c r="F75" s="228"/>
    </row>
    <row r="76" s="221" customFormat="1" ht="15" customHeight="1">
      <c r="A76" s="828"/>
      <c r="B76" s="828"/>
      <c r="C76" s="231" t="s">
        <v>121</v>
      </c>
      <c r="D76" s="828"/>
      <c r="E76" s="231" t="s">
        <v>121</v>
      </c>
      <c r="F76" s="228"/>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row>
    <row r="77" s="221" customFormat="1" ht="15" customHeight="1">
      <c r="A77" s="828"/>
      <c r="B77" s="828"/>
      <c r="C77" s="231" t="s">
        <v>116</v>
      </c>
      <c r="D77" s="828"/>
      <c r="E77" s="231" t="s">
        <v>116</v>
      </c>
      <c r="F77" s="228"/>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row>
    <row r="78" s="221" customFormat="1" ht="15" customHeight="1">
      <c r="A78" s="828"/>
      <c r="B78" s="828"/>
      <c r="C78" s="231" t="s">
        <v>122</v>
      </c>
      <c r="D78" s="828"/>
      <c r="E78" s="231" t="s">
        <v>122</v>
      </c>
      <c r="F78" s="228"/>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row>
    <row r="79" s="221" customFormat="1" ht="15" customHeight="1">
      <c r="A79" s="225" t="s">
        <v>123</v>
      </c>
      <c r="B79" s="821" t="s">
        <v>5</v>
      </c>
      <c r="C79" s="821"/>
      <c r="D79" s="821" t="s">
        <v>5</v>
      </c>
      <c r="E79" s="821"/>
      <c r="F79" s="225" t="s">
        <v>5</v>
      </c>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row>
    <row r="80" s="221" customFormat="1" ht="15" customHeight="1">
      <c r="A80" s="144" t="s">
        <v>124</v>
      </c>
      <c r="B80" s="149" t="s">
        <v>125</v>
      </c>
      <c r="C80" s="149" t="s">
        <v>126</v>
      </c>
      <c r="D80" s="149" t="s">
        <v>125</v>
      </c>
      <c r="E80" s="149" t="s">
        <v>126</v>
      </c>
      <c r="F80" s="238"/>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7"/>
    </row>
    <row r="81" s="221" customFormat="1" ht="15" customHeight="1">
      <c r="A81" s="226" t="s">
        <v>127</v>
      </c>
      <c r="B81" s="853" t="s">
        <v>128</v>
      </c>
      <c r="C81" s="854" t="s">
        <v>129</v>
      </c>
      <c r="D81" s="853" t="s">
        <v>130</v>
      </c>
      <c r="E81" s="870" t="s">
        <v>129</v>
      </c>
      <c r="F81" s="228" t="s">
        <v>131</v>
      </c>
      <c r="G81" s="237"/>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row>
    <row r="82" s="221" customFormat="1" ht="15" customHeight="1">
      <c r="A82" s="149" t="s">
        <v>132</v>
      </c>
      <c r="B82" s="817" t="s">
        <v>130</v>
      </c>
      <c r="C82" s="815" t="s">
        <v>133</v>
      </c>
      <c r="D82" s="817" t="s">
        <v>130</v>
      </c>
      <c r="E82" s="815" t="s">
        <v>133</v>
      </c>
      <c r="F82" s="228"/>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row>
    <row r="83" s="221" customFormat="1" ht="15" customHeight="1">
      <c r="A83" s="835" t="s">
        <v>134</v>
      </c>
      <c r="B83" s="817" t="s">
        <v>135</v>
      </c>
      <c r="C83" s="815"/>
      <c r="D83" s="817" t="s">
        <v>136</v>
      </c>
      <c r="E83" s="815"/>
      <c r="F83" s="239"/>
      <c r="G83" s="237"/>
      <c r="H83" s="237"/>
      <c r="I83" s="237"/>
      <c r="J83" s="237"/>
      <c r="K83" s="237"/>
      <c r="L83" s="237"/>
      <c r="M83" s="237"/>
      <c r="N83" s="237"/>
      <c r="O83" s="237"/>
      <c r="P83" s="237"/>
      <c r="Q83" s="237"/>
      <c r="R83" s="237"/>
      <c r="S83" s="237"/>
      <c r="T83" s="237"/>
      <c r="U83" s="237"/>
      <c r="V83" s="237"/>
      <c r="W83" s="237"/>
      <c r="X83" s="237"/>
      <c r="Y83" s="237"/>
      <c r="Z83" s="237"/>
      <c r="AA83" s="237"/>
      <c r="AB83" s="237"/>
      <c r="AC83" s="237"/>
      <c r="AD83" s="237"/>
    </row>
    <row r="84" s="221" customFormat="1" ht="15" customHeight="1">
      <c r="A84" s="836"/>
      <c r="B84" s="822" t="s">
        <v>137</v>
      </c>
      <c r="C84" s="823"/>
      <c r="D84" s="822" t="s">
        <v>138</v>
      </c>
      <c r="E84" s="823"/>
      <c r="F84" s="230"/>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row>
    <row r="85" s="221" customFormat="1" ht="15" customHeight="1">
      <c r="A85" s="836"/>
      <c r="B85" s="822" t="s">
        <v>139</v>
      </c>
      <c r="C85" s="823"/>
      <c r="D85" s="822" t="s">
        <v>139</v>
      </c>
      <c r="E85" s="823"/>
      <c r="F85" s="230"/>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row>
    <row r="86" s="221" customFormat="1" ht="15" customHeight="1">
      <c r="A86" s="836"/>
      <c r="B86" s="822" t="s">
        <v>140</v>
      </c>
      <c r="C86" s="823"/>
      <c r="D86" s="822" t="s">
        <v>140</v>
      </c>
      <c r="E86" s="823"/>
      <c r="F86" s="230"/>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row>
    <row r="87" s="221" customFormat="1" ht="15" customHeight="1">
      <c r="A87" s="836"/>
      <c r="B87" s="824" t="s">
        <v>141</v>
      </c>
      <c r="C87" s="825"/>
      <c r="D87" s="847" t="s">
        <v>141</v>
      </c>
      <c r="E87" s="848"/>
      <c r="F87" s="230"/>
      <c r="G87" s="237"/>
      <c r="H87" s="237"/>
      <c r="I87" s="237"/>
      <c r="J87" s="237"/>
      <c r="K87" s="237"/>
      <c r="L87" s="237"/>
      <c r="M87" s="237"/>
      <c r="N87" s="237"/>
      <c r="O87" s="237"/>
      <c r="P87" s="237"/>
      <c r="Q87" s="237"/>
      <c r="R87" s="237"/>
      <c r="S87" s="237"/>
      <c r="T87" s="237"/>
      <c r="U87" s="237"/>
      <c r="V87" s="237"/>
      <c r="W87" s="237"/>
      <c r="X87" s="237"/>
      <c r="Y87" s="237"/>
      <c r="Z87" s="237"/>
      <c r="AA87" s="237"/>
      <c r="AB87" s="237"/>
      <c r="AC87" s="237"/>
      <c r="AD87" s="237"/>
    </row>
    <row r="88" s="221" customFormat="1" ht="87.75" customHeight="1">
      <c r="A88" s="836"/>
      <c r="B88" s="839" t="s">
        <v>142</v>
      </c>
      <c r="C88" s="840"/>
      <c r="D88" s="839" t="s">
        <v>143</v>
      </c>
      <c r="E88" s="840"/>
      <c r="F88" s="240" t="s">
        <v>144</v>
      </c>
      <c r="G88" s="237"/>
      <c r="H88" s="237"/>
      <c r="I88" s="237"/>
      <c r="J88" s="237"/>
      <c r="K88" s="237"/>
      <c r="L88" s="237"/>
      <c r="M88" s="237"/>
      <c r="N88" s="237"/>
      <c r="O88" s="237"/>
      <c r="P88" s="237"/>
      <c r="Q88" s="237"/>
      <c r="R88" s="237"/>
      <c r="S88" s="237"/>
      <c r="T88" s="237"/>
      <c r="U88" s="237"/>
      <c r="V88" s="237"/>
      <c r="W88" s="237"/>
      <c r="X88" s="237"/>
      <c r="Y88" s="237"/>
      <c r="Z88" s="237"/>
      <c r="AA88" s="237"/>
      <c r="AB88" s="237"/>
      <c r="AC88" s="237"/>
      <c r="AD88" s="237"/>
    </row>
    <row r="89" s="221" customFormat="1" ht="15" customHeight="1">
      <c r="A89" s="836"/>
      <c r="B89" s="864" t="s">
        <v>145</v>
      </c>
      <c r="C89" s="865"/>
      <c r="D89" s="864" t="s">
        <v>146</v>
      </c>
      <c r="E89" s="865"/>
      <c r="F89" s="230"/>
      <c r="G89" s="237"/>
      <c r="H89" s="237"/>
      <c r="I89" s="237"/>
      <c r="J89" s="237"/>
      <c r="K89" s="237"/>
      <c r="L89" s="237"/>
      <c r="M89" s="237"/>
      <c r="N89" s="237"/>
      <c r="O89" s="237"/>
      <c r="P89" s="237"/>
      <c r="Q89" s="237"/>
      <c r="R89" s="237"/>
      <c r="S89" s="237"/>
      <c r="T89" s="237"/>
      <c r="U89" s="237"/>
      <c r="V89" s="237"/>
      <c r="W89" s="237"/>
      <c r="X89" s="237"/>
      <c r="Y89" s="237"/>
      <c r="Z89" s="237"/>
      <c r="AA89" s="237"/>
      <c r="AB89" s="237"/>
      <c r="AC89" s="237"/>
      <c r="AD89" s="237"/>
    </row>
    <row r="90" s="221" customFormat="1" ht="15" customHeight="1">
      <c r="A90" s="225" t="s">
        <v>147</v>
      </c>
      <c r="B90" s="821" t="s">
        <v>5</v>
      </c>
      <c r="C90" s="821"/>
      <c r="D90" s="821" t="s">
        <v>5</v>
      </c>
      <c r="E90" s="821"/>
      <c r="F90" s="225" t="s">
        <v>5</v>
      </c>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c r="AD90" s="237"/>
    </row>
    <row r="91" s="221" customFormat="1" ht="15" customHeight="1">
      <c r="A91" s="828" t="s">
        <v>147</v>
      </c>
      <c r="B91" s="120" t="s">
        <v>148</v>
      </c>
      <c r="C91" s="120" t="s">
        <v>149</v>
      </c>
      <c r="D91" s="120" t="s">
        <v>148</v>
      </c>
      <c r="E91" s="120" t="s">
        <v>149</v>
      </c>
      <c r="F91" s="241"/>
      <c r="G91" s="237"/>
      <c r="H91" s="237"/>
      <c r="I91" s="237"/>
      <c r="J91" s="237"/>
      <c r="K91" s="237"/>
      <c r="L91" s="237"/>
      <c r="M91" s="237"/>
      <c r="N91" s="237"/>
      <c r="O91" s="237"/>
      <c r="P91" s="237"/>
      <c r="Q91" s="237"/>
      <c r="R91" s="237"/>
      <c r="S91" s="237"/>
      <c r="T91" s="237"/>
      <c r="U91" s="237"/>
      <c r="V91" s="237"/>
      <c r="W91" s="237"/>
      <c r="X91" s="237"/>
      <c r="Y91" s="237"/>
      <c r="Z91" s="237"/>
      <c r="AA91" s="237"/>
      <c r="AB91" s="237"/>
      <c r="AC91" s="237"/>
      <c r="AD91" s="237"/>
    </row>
    <row r="92" s="221" customFormat="1" ht="15" customHeight="1">
      <c r="A92" s="828"/>
      <c r="B92" s="120" t="s">
        <v>150</v>
      </c>
      <c r="C92" s="120" t="s">
        <v>151</v>
      </c>
      <c r="D92" s="120" t="s">
        <v>150</v>
      </c>
      <c r="E92" s="120" t="s">
        <v>151</v>
      </c>
      <c r="F92" s="241"/>
      <c r="G92" s="237"/>
      <c r="H92" s="237"/>
      <c r="I92" s="237"/>
      <c r="J92" s="237"/>
      <c r="K92" s="237"/>
      <c r="L92" s="237"/>
      <c r="M92" s="237"/>
      <c r="N92" s="237"/>
      <c r="O92" s="237"/>
      <c r="P92" s="237"/>
      <c r="Q92" s="237"/>
      <c r="R92" s="237"/>
      <c r="S92" s="237"/>
      <c r="T92" s="237"/>
      <c r="U92" s="237"/>
      <c r="V92" s="237"/>
      <c r="W92" s="237"/>
      <c r="X92" s="237"/>
      <c r="Y92" s="237"/>
      <c r="Z92" s="237"/>
      <c r="AA92" s="237"/>
      <c r="AB92" s="237"/>
      <c r="AC92" s="237"/>
      <c r="AD92" s="237"/>
    </row>
    <row r="93" s="221" customFormat="1" ht="15" customHeight="1">
      <c r="A93" s="828"/>
      <c r="B93" s="120" t="s">
        <v>152</v>
      </c>
      <c r="C93" s="120" t="s">
        <v>153</v>
      </c>
      <c r="D93" s="120" t="s">
        <v>152</v>
      </c>
      <c r="E93" s="120" t="s">
        <v>153</v>
      </c>
      <c r="F93" s="241"/>
      <c r="G93" s="237"/>
      <c r="H93" s="237"/>
      <c r="I93" s="237"/>
      <c r="J93" s="237"/>
      <c r="K93" s="237"/>
      <c r="L93" s="237"/>
      <c r="M93" s="237"/>
      <c r="N93" s="237"/>
      <c r="O93" s="237"/>
      <c r="P93" s="237"/>
      <c r="Q93" s="237"/>
      <c r="R93" s="237"/>
      <c r="S93" s="237"/>
      <c r="T93" s="237"/>
      <c r="U93" s="237"/>
      <c r="V93" s="237"/>
      <c r="W93" s="237"/>
      <c r="X93" s="237"/>
      <c r="Y93" s="237"/>
      <c r="Z93" s="237"/>
      <c r="AA93" s="237"/>
      <c r="AB93" s="237"/>
      <c r="AC93" s="237"/>
      <c r="AD93" s="237"/>
    </row>
    <row r="94" s="221" customFormat="1" ht="15" customHeight="1">
      <c r="A94" s="828"/>
      <c r="B94" s="120" t="s">
        <v>154</v>
      </c>
      <c r="C94" s="120" t="s">
        <v>155</v>
      </c>
      <c r="D94" s="120" t="s">
        <v>154</v>
      </c>
      <c r="E94" s="120" t="s">
        <v>155</v>
      </c>
      <c r="F94" s="241"/>
      <c r="G94" s="237"/>
      <c r="H94" s="237"/>
      <c r="I94" s="237"/>
      <c r="J94" s="237"/>
      <c r="K94" s="237"/>
      <c r="L94" s="237"/>
      <c r="M94" s="237"/>
      <c r="N94" s="237"/>
      <c r="O94" s="237"/>
      <c r="P94" s="237"/>
      <c r="Q94" s="237"/>
      <c r="R94" s="237"/>
      <c r="S94" s="237"/>
      <c r="T94" s="237"/>
      <c r="U94" s="237"/>
      <c r="V94" s="237"/>
      <c r="W94" s="237"/>
      <c r="X94" s="237"/>
      <c r="Y94" s="237"/>
      <c r="Z94" s="237"/>
      <c r="AA94" s="237"/>
      <c r="AB94" s="237"/>
      <c r="AC94" s="237"/>
      <c r="AD94" s="237"/>
    </row>
    <row r="95" s="221" customFormat="1" ht="15" customHeight="1">
      <c r="A95" s="828"/>
      <c r="B95" s="120" t="s">
        <v>156</v>
      </c>
      <c r="C95" s="120" t="s">
        <v>157</v>
      </c>
      <c r="D95" s="120" t="s">
        <v>156</v>
      </c>
      <c r="E95" s="120" t="s">
        <v>157</v>
      </c>
      <c r="F95" s="241"/>
      <c r="G95" s="237"/>
      <c r="H95" s="237"/>
      <c r="I95" s="237"/>
      <c r="J95" s="237"/>
      <c r="K95" s="237"/>
      <c r="L95" s="237"/>
      <c r="M95" s="237"/>
      <c r="N95" s="237"/>
      <c r="O95" s="237"/>
      <c r="P95" s="237"/>
      <c r="Q95" s="237"/>
      <c r="R95" s="237"/>
      <c r="S95" s="237"/>
      <c r="T95" s="237"/>
      <c r="U95" s="237"/>
      <c r="V95" s="237"/>
      <c r="W95" s="237"/>
      <c r="X95" s="237"/>
      <c r="Y95" s="237"/>
      <c r="Z95" s="237"/>
      <c r="AA95" s="237"/>
      <c r="AB95" s="237"/>
      <c r="AC95" s="237"/>
      <c r="AD95" s="237"/>
    </row>
    <row r="96" s="221" customFormat="1" ht="15" customHeight="1">
      <c r="A96" s="828"/>
      <c r="B96" s="242" t="s">
        <v>158</v>
      </c>
      <c r="C96" s="242" t="s">
        <v>159</v>
      </c>
      <c r="D96" s="242" t="s">
        <v>158</v>
      </c>
      <c r="E96" s="242" t="s">
        <v>160</v>
      </c>
      <c r="F96" s="241"/>
      <c r="G96" s="237"/>
      <c r="H96" s="237"/>
      <c r="I96" s="237"/>
      <c r="J96" s="237"/>
      <c r="K96" s="237"/>
      <c r="L96" s="237"/>
      <c r="M96" s="237"/>
      <c r="N96" s="237"/>
      <c r="O96" s="237"/>
      <c r="P96" s="237"/>
      <c r="Q96" s="237"/>
      <c r="R96" s="237"/>
      <c r="S96" s="237"/>
      <c r="T96" s="237"/>
      <c r="U96" s="237"/>
      <c r="V96" s="237"/>
      <c r="W96" s="237"/>
      <c r="X96" s="237"/>
      <c r="Y96" s="237"/>
      <c r="Z96" s="237"/>
      <c r="AA96" s="237"/>
      <c r="AB96" s="237"/>
      <c r="AC96" s="237"/>
      <c r="AD96" s="237"/>
    </row>
    <row r="97" s="221" customFormat="1" ht="15" customHeight="1">
      <c r="A97" s="828"/>
      <c r="B97" s="242" t="s">
        <v>161</v>
      </c>
      <c r="C97" s="242" t="s">
        <v>159</v>
      </c>
      <c r="D97" s="242" t="s">
        <v>161</v>
      </c>
      <c r="E97" s="242" t="s">
        <v>162</v>
      </c>
      <c r="F97" s="241"/>
      <c r="G97" s="237"/>
      <c r="H97" s="237"/>
      <c r="I97" s="237"/>
      <c r="J97" s="237"/>
      <c r="K97" s="237"/>
      <c r="L97" s="237"/>
      <c r="M97" s="237"/>
      <c r="N97" s="237"/>
      <c r="O97" s="237"/>
      <c r="P97" s="237"/>
      <c r="Q97" s="237"/>
      <c r="R97" s="237"/>
      <c r="S97" s="237"/>
      <c r="T97" s="237"/>
      <c r="U97" s="237"/>
      <c r="V97" s="237"/>
      <c r="W97" s="237"/>
      <c r="X97" s="237"/>
      <c r="Y97" s="237"/>
      <c r="Z97" s="237"/>
      <c r="AA97" s="237"/>
      <c r="AB97" s="237"/>
      <c r="AC97" s="237"/>
      <c r="AD97" s="237"/>
    </row>
    <row r="98" s="221" customFormat="1" ht="15" customHeight="1">
      <c r="A98" s="828"/>
      <c r="B98" s="120" t="s">
        <v>163</v>
      </c>
      <c r="C98" s="120" t="s">
        <v>164</v>
      </c>
      <c r="D98" s="120" t="s">
        <v>163</v>
      </c>
      <c r="E98" s="120" t="s">
        <v>164</v>
      </c>
      <c r="F98" s="241"/>
      <c r="G98" s="237"/>
      <c r="H98" s="237"/>
      <c r="I98" s="237"/>
      <c r="J98" s="237"/>
      <c r="K98" s="237"/>
      <c r="L98" s="237"/>
      <c r="M98" s="237"/>
      <c r="N98" s="237"/>
      <c r="O98" s="237"/>
      <c r="P98" s="237"/>
      <c r="Q98" s="237"/>
      <c r="R98" s="237"/>
      <c r="S98" s="237"/>
      <c r="T98" s="237"/>
      <c r="U98" s="237"/>
      <c r="V98" s="237"/>
      <c r="W98" s="237"/>
      <c r="X98" s="237"/>
      <c r="Y98" s="237"/>
      <c r="Z98" s="237"/>
      <c r="AA98" s="237"/>
      <c r="AB98" s="237"/>
      <c r="AC98" s="237"/>
      <c r="AD98" s="237"/>
    </row>
    <row r="99" s="221" customFormat="1" ht="15.75" customHeight="1">
      <c r="A99" s="828"/>
      <c r="B99" s="243" t="s">
        <v>165</v>
      </c>
      <c r="C99" s="244" t="s">
        <v>166</v>
      </c>
      <c r="D99" s="243" t="s">
        <v>165</v>
      </c>
      <c r="E99" s="244" t="s">
        <v>166</v>
      </c>
      <c r="F99" s="241"/>
      <c r="G99" s="237"/>
      <c r="H99" s="237"/>
      <c r="I99" s="237"/>
      <c r="J99" s="237"/>
      <c r="K99" s="237"/>
      <c r="L99" s="237"/>
      <c r="M99" s="237"/>
      <c r="N99" s="237"/>
      <c r="O99" s="237"/>
      <c r="P99" s="237"/>
      <c r="Q99" s="237"/>
      <c r="R99" s="237"/>
      <c r="S99" s="237"/>
      <c r="T99" s="237"/>
      <c r="U99" s="237"/>
      <c r="V99" s="237"/>
      <c r="W99" s="237"/>
      <c r="X99" s="237"/>
      <c r="Y99" s="237"/>
      <c r="Z99" s="237"/>
      <c r="AA99" s="237"/>
      <c r="AB99" s="237"/>
      <c r="AC99" s="237"/>
      <c r="AD99" s="237"/>
    </row>
    <row r="100" s="221" customFormat="1" ht="15.75" customHeight="1">
      <c r="A100" s="828"/>
      <c r="B100" s="245" t="s">
        <v>167</v>
      </c>
      <c r="C100" s="245" t="s">
        <v>168</v>
      </c>
      <c r="D100" s="245" t="s">
        <v>167</v>
      </c>
      <c r="E100" s="245" t="s">
        <v>168</v>
      </c>
      <c r="F100" s="241"/>
      <c r="G100" s="237"/>
      <c r="H100" s="237"/>
      <c r="I100" s="237"/>
      <c r="J100" s="237"/>
      <c r="K100" s="237"/>
      <c r="L100" s="237"/>
      <c r="M100" s="237"/>
      <c r="N100" s="237"/>
      <c r="O100" s="237"/>
      <c r="P100" s="237"/>
      <c r="Q100" s="237"/>
      <c r="R100" s="237"/>
      <c r="S100" s="237"/>
      <c r="T100" s="237"/>
      <c r="U100" s="237"/>
      <c r="V100" s="237"/>
      <c r="W100" s="237"/>
      <c r="X100" s="237"/>
      <c r="Y100" s="237"/>
      <c r="Z100" s="237"/>
      <c r="AA100" s="237"/>
      <c r="AB100" s="237"/>
      <c r="AC100" s="237"/>
      <c r="AD100" s="237"/>
    </row>
    <row r="101" s="221" customFormat="1" ht="30" customHeight="1">
      <c r="A101" s="828"/>
      <c r="B101" s="245" t="s">
        <v>169</v>
      </c>
      <c r="C101" s="245" t="s">
        <v>170</v>
      </c>
      <c r="D101" s="246" t="s">
        <v>171</v>
      </c>
      <c r="E101" s="245" t="s">
        <v>170</v>
      </c>
      <c r="F101" s="247" t="s">
        <v>172</v>
      </c>
      <c r="G101" s="237"/>
      <c r="H101" s="237"/>
      <c r="I101" s="237"/>
      <c r="J101" s="237"/>
      <c r="K101" s="237"/>
      <c r="L101" s="237"/>
      <c r="M101" s="237"/>
      <c r="N101" s="237"/>
      <c r="O101" s="237"/>
      <c r="P101" s="237"/>
      <c r="Q101" s="237"/>
      <c r="R101" s="237"/>
      <c r="S101" s="237"/>
      <c r="T101" s="237"/>
      <c r="U101" s="237"/>
      <c r="V101" s="237"/>
      <c r="W101" s="237"/>
      <c r="X101" s="237"/>
      <c r="Y101" s="237"/>
      <c r="Z101" s="237"/>
      <c r="AA101" s="237"/>
      <c r="AB101" s="237"/>
      <c r="AC101" s="237"/>
      <c r="AD101" s="237"/>
    </row>
    <row r="102" s="221" customFormat="1" ht="15.75" customHeight="1">
      <c r="A102" s="828"/>
      <c r="B102" s="245" t="s">
        <v>173</v>
      </c>
      <c r="C102" s="245" t="s">
        <v>174</v>
      </c>
      <c r="D102" s="245" t="s">
        <v>173</v>
      </c>
      <c r="E102" s="245" t="s">
        <v>174</v>
      </c>
      <c r="F102" s="241"/>
      <c r="G102" s="237"/>
      <c r="H102" s="237"/>
      <c r="I102" s="237"/>
      <c r="J102" s="237"/>
      <c r="K102" s="237"/>
      <c r="L102" s="237"/>
      <c r="M102" s="237"/>
      <c r="N102" s="237"/>
      <c r="O102" s="237"/>
      <c r="P102" s="237"/>
      <c r="Q102" s="237"/>
      <c r="R102" s="237"/>
      <c r="S102" s="237"/>
      <c r="T102" s="237"/>
      <c r="U102" s="237"/>
      <c r="V102" s="237"/>
      <c r="W102" s="237"/>
      <c r="X102" s="237"/>
      <c r="Y102" s="237"/>
      <c r="Z102" s="237"/>
      <c r="AA102" s="237"/>
      <c r="AB102" s="237"/>
      <c r="AC102" s="237"/>
      <c r="AD102" s="237"/>
    </row>
    <row r="103" s="221" customFormat="1" ht="30" customHeight="1">
      <c r="A103" s="828"/>
      <c r="B103" s="245" t="s">
        <v>175</v>
      </c>
      <c r="C103" s="245" t="s">
        <v>176</v>
      </c>
      <c r="D103" s="246" t="s">
        <v>177</v>
      </c>
      <c r="E103" s="245" t="s">
        <v>176</v>
      </c>
      <c r="F103" s="247" t="s">
        <v>178</v>
      </c>
      <c r="G103" s="237"/>
      <c r="H103" s="237"/>
      <c r="I103" s="237"/>
      <c r="J103" s="237"/>
      <c r="K103" s="237"/>
      <c r="L103" s="237"/>
      <c r="M103" s="237"/>
      <c r="N103" s="237"/>
      <c r="O103" s="237"/>
      <c r="P103" s="237"/>
      <c r="Q103" s="237"/>
      <c r="R103" s="237"/>
      <c r="S103" s="237"/>
      <c r="T103" s="237"/>
      <c r="U103" s="237"/>
      <c r="V103" s="237"/>
      <c r="W103" s="237"/>
      <c r="X103" s="237"/>
      <c r="Y103" s="237"/>
      <c r="Z103" s="237"/>
      <c r="AA103" s="237"/>
      <c r="AB103" s="237"/>
      <c r="AC103" s="237"/>
      <c r="AD103" s="237"/>
    </row>
    <row r="104" s="221" customFormat="1" ht="15" customHeight="1">
      <c r="A104" s="225" t="s">
        <v>179</v>
      </c>
      <c r="B104" s="821" t="s">
        <v>5</v>
      </c>
      <c r="C104" s="821"/>
      <c r="D104" s="821" t="s">
        <v>5</v>
      </c>
      <c r="E104" s="821"/>
      <c r="F104" s="225" t="s">
        <v>5</v>
      </c>
      <c r="G104" s="237"/>
      <c r="H104" s="237"/>
      <c r="I104" s="237"/>
      <c r="J104" s="237"/>
      <c r="K104" s="237"/>
      <c r="L104" s="237"/>
      <c r="M104" s="237"/>
      <c r="N104" s="237"/>
      <c r="O104" s="237"/>
      <c r="P104" s="237"/>
      <c r="Q104" s="237"/>
      <c r="R104" s="237"/>
      <c r="S104" s="237"/>
      <c r="T104" s="237"/>
      <c r="U104" s="237"/>
      <c r="V104" s="237"/>
      <c r="W104" s="237"/>
      <c r="X104" s="237"/>
      <c r="Y104" s="237"/>
      <c r="Z104" s="237"/>
      <c r="AA104" s="237"/>
      <c r="AB104" s="237"/>
      <c r="AC104" s="237"/>
      <c r="AD104" s="237"/>
    </row>
    <row r="105" ht="15.75" customHeight="1">
      <c r="A105" s="851" t="s">
        <v>180</v>
      </c>
      <c r="B105" s="855" t="s">
        <v>181</v>
      </c>
      <c r="C105" s="856"/>
      <c r="D105" s="855" t="s">
        <v>181</v>
      </c>
      <c r="E105" s="856"/>
      <c r="F105" s="230"/>
    </row>
    <row r="106" ht="15.75" customHeight="1">
      <c r="A106" s="852" t="s">
        <v>182</v>
      </c>
      <c r="B106" s="815" t="s">
        <v>183</v>
      </c>
      <c r="C106" s="816"/>
      <c r="D106" s="815" t="s">
        <v>183</v>
      </c>
      <c r="E106" s="816"/>
      <c r="F106" s="230"/>
    </row>
    <row r="107" ht="15.75" customHeight="1">
      <c r="A107" s="836" t="s">
        <v>28</v>
      </c>
      <c r="B107" s="817" t="s">
        <v>184</v>
      </c>
      <c r="C107" s="816"/>
      <c r="D107" s="817" t="s">
        <v>184</v>
      </c>
      <c r="E107" s="816"/>
      <c r="F107" s="230"/>
    </row>
    <row r="108" ht="15.75" customHeight="1">
      <c r="A108" s="877" t="s">
        <v>185</v>
      </c>
      <c r="B108" s="829" t="s">
        <v>186</v>
      </c>
      <c r="C108" s="830"/>
      <c r="D108" s="829" t="s">
        <v>186</v>
      </c>
      <c r="E108" s="878"/>
      <c r="F108" s="230"/>
    </row>
    <row r="109" ht="15.75" customHeight="1">
      <c r="A109" s="248" t="s">
        <v>187</v>
      </c>
      <c r="B109" s="866" t="s">
        <v>188</v>
      </c>
      <c r="C109" s="867"/>
      <c r="D109" s="868" t="s">
        <v>189</v>
      </c>
      <c r="E109" s="869"/>
    </row>
    <row r="110" s="111" customFormat="1" ht="38.25" customHeight="1">
      <c r="A110" s="225" t="s">
        <v>190</v>
      </c>
      <c r="B110" s="880"/>
      <c r="C110" s="881"/>
      <c r="D110" s="818"/>
      <c r="E110" s="819"/>
      <c r="F110" s="249"/>
    </row>
    <row r="111" s="222" customFormat="1" ht="31.5" customHeight="1">
      <c r="A111" s="248" t="s">
        <v>191</v>
      </c>
      <c r="B111" s="831" t="s">
        <v>192</v>
      </c>
      <c r="C111" s="832"/>
      <c r="D111" s="831" t="s">
        <v>193</v>
      </c>
      <c r="E111" s="876"/>
      <c r="F111" s="242" t="s">
        <v>194</v>
      </c>
    </row>
    <row r="112" s="222" customFormat="1" ht="36.75" customHeight="1">
      <c r="A112" s="248" t="s">
        <v>195</v>
      </c>
      <c r="B112" s="831" t="s">
        <v>196</v>
      </c>
      <c r="C112" s="832"/>
      <c r="D112" s="831" t="s">
        <v>197</v>
      </c>
      <c r="E112" s="876"/>
      <c r="F112" s="242" t="s">
        <v>198</v>
      </c>
    </row>
    <row r="113" s="222" customFormat="1" ht="14.25" customHeight="1">
      <c r="A113" s="248" t="s">
        <v>199</v>
      </c>
      <c r="B113" s="831" t="s">
        <v>200</v>
      </c>
      <c r="C113" s="832"/>
      <c r="D113" s="831" t="s">
        <v>201</v>
      </c>
      <c r="E113" s="832"/>
      <c r="F113" s="226"/>
    </row>
    <row r="114" s="222" customFormat="1" ht="14.25" customHeight="1">
      <c r="A114" s="226" t="s">
        <v>202</v>
      </c>
      <c r="B114" s="831" t="s">
        <v>203</v>
      </c>
      <c r="C114" s="832"/>
      <c r="D114" s="831" t="s">
        <v>204</v>
      </c>
      <c r="E114" s="832"/>
      <c r="F114" s="226"/>
    </row>
    <row r="115" s="222" customFormat="1" ht="14.25" customHeight="1">
      <c r="A115" s="226" t="s">
        <v>205</v>
      </c>
      <c r="B115" s="837" t="s">
        <v>206</v>
      </c>
      <c r="C115" s="838"/>
      <c r="D115" s="833" t="s">
        <v>207</v>
      </c>
      <c r="E115" s="834"/>
      <c r="F115" s="242" t="s">
        <v>208</v>
      </c>
    </row>
    <row r="116" ht="14.25" customHeight="1">
      <c r="B116" s="873"/>
      <c r="C116" s="873"/>
      <c r="D116" s="863"/>
      <c r="E116" s="863"/>
    </row>
    <row r="117" ht="14.25" customHeight="1">
      <c r="D117" s="250"/>
      <c r="E117" s="250"/>
    </row>
    <row r="118" ht="14.25" customHeight="1">
      <c r="D118" s="250"/>
      <c r="E118" s="250"/>
    </row>
    <row r="119" ht="14.25" customHeight="1">
      <c r="D119" s="250"/>
      <c r="E119" s="250"/>
    </row>
    <row r="120" ht="14.25" customHeight="1">
      <c r="D120" s="250"/>
      <c r="E120" s="250"/>
    </row>
    <row r="121" ht="14.25" customHeight="1">
      <c r="D121" s="250"/>
      <c r="E121" s="250"/>
    </row>
    <row r="122" ht="14.25" customHeight="1">
      <c r="D122" s="250"/>
      <c r="E122" s="250"/>
    </row>
    <row r="123" ht="14.25" customHeight="1">
      <c r="D123" s="250"/>
      <c r="E123" s="250"/>
    </row>
    <row r="124" ht="14.25" customHeight="1">
      <c r="D124" s="250"/>
      <c r="E124" s="250"/>
    </row>
    <row r="125" ht="14.25" customHeight="1">
      <c r="D125" s="250"/>
      <c r="E125" s="250"/>
    </row>
    <row r="126" ht="14.25" customHeight="1">
      <c r="D126" s="250"/>
      <c r="E126" s="250"/>
    </row>
    <row r="127" ht="14.25" customHeight="1">
      <c r="D127" s="250"/>
      <c r="E127" s="250"/>
    </row>
    <row r="128" ht="14.25" customHeight="1">
      <c r="D128" s="250"/>
      <c r="E128" s="250"/>
    </row>
    <row r="129" ht="14.25" customHeight="1">
      <c r="D129" s="250"/>
      <c r="E129" s="250"/>
    </row>
  </sheetData>
  <mergeCells count="121">
    <mergeCell ref="D11:E11"/>
    <mergeCell ref="D110:E110"/>
    <mergeCell ref="D2:E2"/>
    <mergeCell ref="B79:C79"/>
    <mergeCell ref="D108:E108"/>
    <mergeCell ref="B15:C15"/>
    <mergeCell ref="D50:D51"/>
    <mergeCell ref="B10:C10"/>
    <mergeCell ref="B88:C88"/>
    <mergeCell ref="A40:A46"/>
    <mergeCell ref="B116:C116"/>
    <mergeCell ref="B13:C13"/>
    <mergeCell ref="B73:B78"/>
    <mergeCell ref="B84:C84"/>
    <mergeCell ref="D88:E88"/>
    <mergeCell ref="B111:C111"/>
    <mergeCell ref="F14:F17"/>
    <mergeCell ref="D111:E111"/>
    <mergeCell ref="D79:E79"/>
    <mergeCell ref="B25:C25"/>
    <mergeCell ref="B82:C82"/>
    <mergeCell ref="B50:B51"/>
    <mergeCell ref="B83:C83"/>
    <mergeCell ref="D73:D78"/>
    <mergeCell ref="A91:A103"/>
    <mergeCell ref="D15:E15"/>
    <mergeCell ref="D89:E89"/>
    <mergeCell ref="B52:B53"/>
    <mergeCell ref="B113:C113"/>
    <mergeCell ref="D112:E112"/>
    <mergeCell ref="D115:E115"/>
    <mergeCell ref="B8:C8"/>
    <mergeCell ref="D81:E81"/>
    <mergeCell ref="B89:C89"/>
    <mergeCell ref="D116:E116"/>
    <mergeCell ref="D20:E20"/>
    <mergeCell ref="B9:C9"/>
    <mergeCell ref="B67:B72"/>
    <mergeCell ref="B2:C2"/>
    <mergeCell ref="D105:E105"/>
    <mergeCell ref="D3:E3"/>
    <mergeCell ref="D13:E13"/>
    <mergeCell ref="A107:A108"/>
    <mergeCell ref="B85:C85"/>
    <mergeCell ref="D90:E90"/>
    <mergeCell ref="D5:E5"/>
    <mergeCell ref="D52:D53"/>
    <mergeCell ref="D21:E21"/>
    <mergeCell ref="B114:C114"/>
    <mergeCell ref="D83:E83"/>
    <mergeCell ref="D54:D60"/>
    <mergeCell ref="A14:A17"/>
    <mergeCell ref="D6:E6"/>
    <mergeCell ref="A26:A32"/>
    <mergeCell ref="B104:C104"/>
    <mergeCell ref="B21:C21"/>
    <mergeCell ref="B61:B66"/>
    <mergeCell ref="B86:C86"/>
    <mergeCell ref="B7:C7"/>
    <mergeCell ref="D18:E18"/>
    <mergeCell ref="D22:E22"/>
    <mergeCell ref="D7:E7"/>
    <mergeCell ref="B19:C19"/>
    <mergeCell ref="D106:E106"/>
    <mergeCell ref="B90:C90"/>
    <mergeCell ref="D4:E4"/>
    <mergeCell ref="D16:E16"/>
    <mergeCell ref="B17:C17"/>
    <mergeCell ref="A105:A106"/>
    <mergeCell ref="A33:A39"/>
    <mergeCell ref="B1:C1"/>
    <mergeCell ref="F50:F53"/>
    <mergeCell ref="D12:E12"/>
    <mergeCell ref="B110:C110"/>
    <mergeCell ref="D1:E1"/>
    <mergeCell ref="D85:E85"/>
    <mergeCell ref="B108:C108"/>
    <mergeCell ref="D23:E23"/>
    <mergeCell ref="D25:E25"/>
    <mergeCell ref="B4:C4"/>
    <mergeCell ref="B23:C23"/>
    <mergeCell ref="D14:E14"/>
    <mergeCell ref="A47:A78"/>
    <mergeCell ref="B109:C109"/>
    <mergeCell ref="B24:C24"/>
    <mergeCell ref="B106:C106"/>
    <mergeCell ref="B87:C87"/>
    <mergeCell ref="D113:E113"/>
    <mergeCell ref="B105:C105"/>
    <mergeCell ref="D114:E114"/>
    <mergeCell ref="D104:E104"/>
    <mergeCell ref="B54:B60"/>
    <mergeCell ref="B107:C107"/>
    <mergeCell ref="D24:E24"/>
    <mergeCell ref="B5:C5"/>
    <mergeCell ref="D107:E107"/>
    <mergeCell ref="B22:C22"/>
    <mergeCell ref="B6:C6"/>
    <mergeCell ref="B112:C112"/>
    <mergeCell ref="B11:C11"/>
    <mergeCell ref="B14:C14"/>
    <mergeCell ref="B18:C18"/>
    <mergeCell ref="D19:E19"/>
    <mergeCell ref="B16:C16"/>
    <mergeCell ref="B12:C12"/>
    <mergeCell ref="D84:E84"/>
    <mergeCell ref="D87:E87"/>
    <mergeCell ref="B3:C3"/>
    <mergeCell ref="D67:D72"/>
    <mergeCell ref="D10:E10"/>
    <mergeCell ref="B20:C20"/>
    <mergeCell ref="D9:E9"/>
    <mergeCell ref="A83:A89"/>
    <mergeCell ref="B115:C115"/>
    <mergeCell ref="D8:E8"/>
    <mergeCell ref="D61:D66"/>
    <mergeCell ref="D17:E17"/>
    <mergeCell ref="D109:E109"/>
    <mergeCell ref="D86:E86"/>
    <mergeCell ref="B81:C81"/>
    <mergeCell ref="D82:E8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F5" activePane="bottomRight" state="frozen" xSplit="5" ySplit="4"/>
    </sheetView>
  </sheetViews>
  <sheetFormatPr baseColWidth="10" defaultColWidth="9" defaultRowHeight="14.25" customHeight="1"/>
  <cols>
    <col min="1" max="1" width="22.6640625" customWidth="1" style="54"/>
    <col min="2" max="2" width="9.3310546875" customWidth="1" style="251"/>
    <col min="3" max="3" width="5.33203125" customWidth="1" style="251"/>
    <col min="4" max="4" width="7.3330078125" customWidth="1" style="251"/>
    <col min="5" max="5" width="33" customWidth="1" style="256"/>
    <col min="6" max="6" width="52.166015625" customWidth="1" style="256"/>
    <col min="7" max="7" width="9.498046875" customWidth="1" style="251"/>
    <col min="8" max="8" width="8.666015625" customWidth="1" style="251"/>
    <col min="9" max="9" width="13.6640625" customWidth="1" style="322"/>
    <col min="10" max="10" width="9.3310546875" customWidth="1" style="256"/>
    <col min="11" max="11" width="39.3310546875" customWidth="1" style="256"/>
    <col min="12" max="12" width="58.8310546875" customWidth="1" style="153"/>
    <col min="13" max="13" width="22.8310546875" customWidth="1" style="256"/>
    <col min="14" max="14" width="29.1650390625" customWidth="1" style="54"/>
  </cols>
  <sheetData>
    <row r="1" ht="27.75" customHeight="1">
      <c r="A1" s="154" t="s">
        <v>209</v>
      </c>
      <c r="B1" s="155"/>
      <c r="C1" s="1112" t="s">
        <v>210</v>
      </c>
      <c r="D1" s="1112"/>
      <c r="E1" s="1112"/>
      <c r="F1" s="1112" t="s">
        <v>211</v>
      </c>
      <c r="G1" s="1112"/>
      <c r="H1" s="1112"/>
      <c r="I1" s="477"/>
      <c r="J1" s="882" t="s">
        <v>212</v>
      </c>
      <c r="K1" s="882"/>
      <c r="L1" s="882"/>
      <c r="M1" s="883"/>
    </row>
    <row r="2" ht="31.5" customHeight="1">
      <c r="A2" s="157" t="s">
        <v>3</v>
      </c>
      <c r="B2" s="158" t="s">
        <v>213</v>
      </c>
      <c r="C2" s="159" t="s">
        <v>214</v>
      </c>
      <c r="D2" s="159" t="s">
        <v>215</v>
      </c>
      <c r="E2" s="159" t="s">
        <v>216</v>
      </c>
      <c r="F2" s="159" t="s">
        <v>217</v>
      </c>
      <c r="G2" s="159" t="s">
        <v>218</v>
      </c>
      <c r="H2" s="1123" t="s">
        <v>219</v>
      </c>
      <c r="I2" s="323" t="s">
        <v>220</v>
      </c>
      <c r="J2" s="160" t="s">
        <v>221</v>
      </c>
      <c r="K2" s="159" t="s">
        <v>222</v>
      </c>
      <c r="L2" s="159" t="s">
        <v>223</v>
      </c>
      <c r="M2" s="159" t="s">
        <v>224</v>
      </c>
      <c r="N2" s="159" t="s">
        <v>3</v>
      </c>
    </row>
    <row r="3" s="256" customFormat="1" ht="15.75" customHeight="1">
      <c r="A3" s="161" t="s">
        <v>225</v>
      </c>
      <c r="B3" s="162"/>
      <c r="C3" s="162"/>
      <c r="D3" s="162"/>
      <c r="E3" s="162"/>
      <c r="F3" s="162"/>
      <c r="G3" s="162"/>
      <c r="H3" s="162"/>
      <c r="I3" s="324"/>
      <c r="J3" s="162"/>
      <c r="K3" s="162"/>
      <c r="L3" s="162"/>
      <c r="M3" s="162"/>
      <c r="N3" s="162"/>
    </row>
    <row r="4" s="256" customFormat="1" ht="15.75" customHeight="1">
      <c r="A4" s="163" t="s">
        <v>226</v>
      </c>
      <c r="B4" s="164" t="s">
        <v>5</v>
      </c>
      <c r="C4" s="164" t="s">
        <v>5</v>
      </c>
      <c r="D4" s="164" t="s">
        <v>5</v>
      </c>
      <c r="E4" s="164" t="s">
        <v>5</v>
      </c>
      <c r="F4" s="164" t="s">
        <v>5</v>
      </c>
      <c r="G4" s="164" t="s">
        <v>5</v>
      </c>
      <c r="H4" s="164" t="s">
        <v>5</v>
      </c>
      <c r="I4" s="325" t="s">
        <v>5</v>
      </c>
      <c r="J4" s="164" t="s">
        <v>5</v>
      </c>
      <c r="K4" s="164" t="s">
        <v>5</v>
      </c>
      <c r="L4" s="164" t="s">
        <v>5</v>
      </c>
      <c r="M4" s="164" t="s">
        <v>5</v>
      </c>
      <c r="N4" s="164" t="s">
        <v>5</v>
      </c>
    </row>
    <row r="5" s="111" customFormat="1" ht="25.5" customHeight="1">
      <c r="A5" s="165"/>
      <c r="B5" s="166" t="s">
        <v>227</v>
      </c>
      <c r="C5" s="166" t="s">
        <v>228</v>
      </c>
      <c r="D5" s="167" t="s">
        <v>229</v>
      </c>
      <c r="E5" s="166" t="s">
        <v>230</v>
      </c>
      <c r="F5" s="166" t="s">
        <v>231</v>
      </c>
      <c r="G5" s="166" t="s">
        <v>232</v>
      </c>
      <c r="H5" s="168" t="n">
        <v>2</v>
      </c>
      <c r="I5" s="326" t="n">
        <v>46154</v>
      </c>
      <c r="J5" s="166" t="s">
        <v>233</v>
      </c>
      <c r="K5" s="166" t="s">
        <v>234</v>
      </c>
      <c r="L5" s="1124" t="s">
        <v>235</v>
      </c>
      <c r="M5" s="170"/>
      <c r="N5" s="165"/>
    </row>
    <row r="6" s="111" customFormat="1" ht="25.5" customHeight="1">
      <c r="A6" s="165"/>
      <c r="B6" s="166" t="s">
        <v>227</v>
      </c>
      <c r="C6" s="166" t="s">
        <v>236</v>
      </c>
      <c r="D6" s="167" t="s">
        <v>229</v>
      </c>
      <c r="E6" s="166" t="s">
        <v>237</v>
      </c>
      <c r="F6" s="166" t="s">
        <v>238</v>
      </c>
      <c r="G6" s="166" t="s">
        <v>239</v>
      </c>
      <c r="H6" s="168" t="n">
        <v>2</v>
      </c>
      <c r="I6" s="326" t="n">
        <v>46154</v>
      </c>
      <c r="J6" s="166" t="s">
        <v>233</v>
      </c>
      <c r="K6" s="166" t="s">
        <v>240</v>
      </c>
      <c r="L6" s="1125" t="s">
        <v>241</v>
      </c>
      <c r="M6" s="170"/>
      <c r="N6" s="165"/>
    </row>
    <row r="7" s="111" customFormat="1" ht="25.5" customHeight="1">
      <c r="A7" s="165"/>
      <c r="B7" s="166" t="s">
        <v>227</v>
      </c>
      <c r="C7" s="166" t="s">
        <v>242</v>
      </c>
      <c r="D7" s="167" t="s">
        <v>229</v>
      </c>
      <c r="E7" s="166" t="s">
        <v>243</v>
      </c>
      <c r="F7" s="166" t="s">
        <v>244</v>
      </c>
      <c r="G7" s="166" t="s">
        <v>239</v>
      </c>
      <c r="H7" s="168" t="n">
        <v>2</v>
      </c>
      <c r="I7" s="326" t="n">
        <v>46154</v>
      </c>
      <c r="J7" s="166" t="s">
        <v>233</v>
      </c>
      <c r="K7" s="166" t="s">
        <v>245</v>
      </c>
      <c r="L7" s="1126" t="s">
        <v>246</v>
      </c>
      <c r="M7" s="170"/>
      <c r="N7" s="165"/>
    </row>
    <row r="8" s="256" customFormat="1" ht="14.25" customHeight="1">
      <c r="A8" s="171" t="s">
        <v>247</v>
      </c>
      <c r="B8" s="164" t="s">
        <v>5</v>
      </c>
      <c r="C8" s="164" t="s">
        <v>5</v>
      </c>
      <c r="D8" s="164" t="s">
        <v>5</v>
      </c>
      <c r="E8" s="164" t="s">
        <v>5</v>
      </c>
      <c r="F8" s="164" t="s">
        <v>5</v>
      </c>
      <c r="G8" s="164" t="s">
        <v>5</v>
      </c>
      <c r="H8" s="164" t="s">
        <v>5</v>
      </c>
      <c r="I8" s="325" t="s">
        <v>5</v>
      </c>
      <c r="J8" s="164" t="s">
        <v>5</v>
      </c>
      <c r="K8" s="164" t="s">
        <v>5</v>
      </c>
      <c r="L8" s="164" t="s">
        <v>5</v>
      </c>
      <c r="M8" s="164" t="s">
        <v>5</v>
      </c>
      <c r="N8" s="164" t="s">
        <v>5</v>
      </c>
    </row>
    <row r="9" s="111" customFormat="1" ht="25.5" customHeight="1">
      <c r="A9" s="172"/>
      <c r="B9" s="166" t="s">
        <v>227</v>
      </c>
      <c r="C9" s="166" t="s">
        <v>248</v>
      </c>
      <c r="D9" s="167" t="s">
        <v>249</v>
      </c>
      <c r="E9" s="166" t="s">
        <v>250</v>
      </c>
      <c r="F9" s="166" t="s">
        <v>251</v>
      </c>
      <c r="G9" s="166" t="s">
        <v>252</v>
      </c>
      <c r="H9" s="168" t="n">
        <v>16</v>
      </c>
      <c r="I9" s="326" t="n">
        <v>46154</v>
      </c>
      <c r="J9" s="166" t="s">
        <v>233</v>
      </c>
      <c r="K9" s="166" t="s">
        <v>253</v>
      </c>
      <c r="L9" s="1127" t="s">
        <v>254</v>
      </c>
      <c r="M9" s="170"/>
      <c r="N9" s="165"/>
    </row>
    <row r="10" s="775" customFormat="1" ht="25.5" customHeight="1">
      <c r="A10" s="781"/>
      <c r="B10" s="796" t="s">
        <v>227</v>
      </c>
      <c r="C10" s="796" t="s">
        <v>248</v>
      </c>
      <c r="D10" s="175" t="s">
        <v>249</v>
      </c>
      <c r="E10" s="796" t="s">
        <v>255</v>
      </c>
      <c r="F10" s="796" t="s">
        <v>256</v>
      </c>
      <c r="G10" s="796" t="s">
        <v>252</v>
      </c>
      <c r="H10" s="177" t="n">
        <v>16</v>
      </c>
      <c r="I10" s="327" t="n">
        <v>46218</v>
      </c>
      <c r="J10" s="796" t="s">
        <v>257</v>
      </c>
      <c r="K10" s="796" t="s">
        <v>258</v>
      </c>
      <c r="L10" s="797" t="s">
        <v>259</v>
      </c>
      <c r="M10" s="159"/>
      <c r="N10" s="780"/>
    </row>
    <row r="11" s="1117" customFormat="1" ht="25.5" customHeight="1">
      <c r="A11" s="1118"/>
      <c r="B11" s="1113" t="s">
        <v>227</v>
      </c>
      <c r="C11" s="1113" t="s">
        <v>248</v>
      </c>
      <c r="D11" s="1111" t="s">
        <v>260</v>
      </c>
      <c r="E11" s="1113" t="s">
        <v>261</v>
      </c>
      <c r="F11" s="1113" t="s">
        <v>262</v>
      </c>
      <c r="G11" s="1113" t="s">
        <v>263</v>
      </c>
      <c r="H11" s="1114" t="n">
        <v>16</v>
      </c>
      <c r="I11" s="1115" t="n">
        <v>46218</v>
      </c>
      <c r="J11" s="1113" t="s">
        <v>233</v>
      </c>
      <c r="K11" s="1113" t="s">
        <v>264</v>
      </c>
      <c r="L11" s="1116" t="s">
        <v>265</v>
      </c>
      <c r="M11" s="1119"/>
      <c r="N11" s="1109"/>
    </row>
    <row r="12" s="256" customFormat="1" ht="14.25" customHeight="1">
      <c r="A12" s="173" t="s">
        <v>266</v>
      </c>
      <c r="B12" s="164" t="s">
        <v>5</v>
      </c>
      <c r="C12" s="164" t="s">
        <v>5</v>
      </c>
      <c r="D12" s="164" t="s">
        <v>5</v>
      </c>
      <c r="E12" s="164" t="s">
        <v>5</v>
      </c>
      <c r="F12" s="164" t="s">
        <v>5</v>
      </c>
      <c r="G12" s="164" t="s">
        <v>5</v>
      </c>
      <c r="H12" s="164" t="s">
        <v>5</v>
      </c>
      <c r="I12" s="325" t="s">
        <v>5</v>
      </c>
      <c r="J12" s="164" t="s">
        <v>5</v>
      </c>
      <c r="K12" s="164" t="s">
        <v>5</v>
      </c>
      <c r="L12" s="164" t="s">
        <v>5</v>
      </c>
      <c r="M12" s="164" t="s">
        <v>5</v>
      </c>
      <c r="N12" s="164" t="s">
        <v>5</v>
      </c>
    </row>
    <row r="13" s="392" customFormat="1" ht="113.25" customHeight="1">
      <c r="A13" s="393"/>
      <c r="B13" s="394" t="s">
        <v>227</v>
      </c>
      <c r="C13" s="395" t="s">
        <v>267</v>
      </c>
      <c r="D13" s="396" t="s">
        <v>268</v>
      </c>
      <c r="E13" s="397" t="s">
        <v>269</v>
      </c>
      <c r="F13" s="1128" t="s">
        <v>270</v>
      </c>
      <c r="G13" s="394" t="s">
        <v>271</v>
      </c>
      <c r="H13" s="398" t="n">
        <v>3</v>
      </c>
      <c r="I13" s="399" t="n">
        <v>46183</v>
      </c>
      <c r="J13" s="394" t="s">
        <v>233</v>
      </c>
      <c r="K13" s="394" t="s">
        <v>272</v>
      </c>
      <c r="L13" s="442" t="s">
        <v>273</v>
      </c>
      <c r="M13" s="395"/>
      <c r="N13" s="401"/>
    </row>
    <row r="14" ht="267.75" customHeight="1">
      <c r="A14" s="347"/>
      <c r="B14" s="174" t="s">
        <v>227</v>
      </c>
      <c r="C14" s="174" t="s">
        <v>248</v>
      </c>
      <c r="D14" s="175" t="s">
        <v>274</v>
      </c>
      <c r="E14" s="176" t="s">
        <v>275</v>
      </c>
      <c r="F14" s="174" t="s">
        <v>276</v>
      </c>
      <c r="G14" s="174" t="s">
        <v>277</v>
      </c>
      <c r="H14" s="177" t="n">
        <v>8</v>
      </c>
      <c r="I14" s="327" t="s">
        <v>278</v>
      </c>
      <c r="J14" s="174" t="s">
        <v>257</v>
      </c>
      <c r="K14" s="1129" t="s">
        <v>279</v>
      </c>
      <c r="L14" s="178" t="s">
        <v>280</v>
      </c>
      <c r="M14" s="108"/>
      <c r="N14" s="156" t="s">
        <v>281</v>
      </c>
    </row>
    <row r="15" s="256" customFormat="1" ht="14.25" customHeight="1">
      <c r="A15" s="171" t="s">
        <v>282</v>
      </c>
      <c r="B15" s="164" t="s">
        <v>5</v>
      </c>
      <c r="C15" s="164" t="s">
        <v>5</v>
      </c>
      <c r="D15" s="164" t="s">
        <v>5</v>
      </c>
      <c r="E15" s="164" t="s">
        <v>5</v>
      </c>
      <c r="F15" s="164" t="s">
        <v>5</v>
      </c>
      <c r="G15" s="164" t="s">
        <v>5</v>
      </c>
      <c r="H15" s="164" t="s">
        <v>5</v>
      </c>
      <c r="I15" s="325" t="s">
        <v>5</v>
      </c>
      <c r="J15" s="164" t="s">
        <v>5</v>
      </c>
      <c r="K15" s="164" t="s">
        <v>5</v>
      </c>
      <c r="L15" s="164" t="s">
        <v>5</v>
      </c>
      <c r="M15" s="164" t="s">
        <v>5</v>
      </c>
      <c r="N15" s="164" t="s">
        <v>5</v>
      </c>
    </row>
    <row r="16" s="109" customFormat="1" ht="274.5" customHeight="1">
      <c r="A16" s="179"/>
      <c r="B16" s="179" t="s">
        <v>283</v>
      </c>
      <c r="C16" s="179" t="s">
        <v>248</v>
      </c>
      <c r="D16" s="179" t="s">
        <v>284</v>
      </c>
      <c r="E16" s="180" t="s">
        <v>285</v>
      </c>
      <c r="F16" s="1130" t="s">
        <v>286</v>
      </c>
      <c r="G16" s="179" t="s">
        <v>287</v>
      </c>
      <c r="H16" s="179" t="n">
        <v>5</v>
      </c>
      <c r="I16" s="321" t="n">
        <v>46172</v>
      </c>
      <c r="J16" s="179" t="s">
        <v>233</v>
      </c>
      <c r="K16" s="179" t="s">
        <v>288</v>
      </c>
      <c r="L16" s="254" t="s">
        <v>289</v>
      </c>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row>
    <row r="17" s="392" customFormat="1" ht="38.25" customHeight="1">
      <c r="A17" s="401"/>
      <c r="B17" s="395" t="s">
        <v>283</v>
      </c>
      <c r="C17" s="395" t="s">
        <v>267</v>
      </c>
      <c r="D17" s="396" t="s">
        <v>290</v>
      </c>
      <c r="E17" s="394" t="s">
        <v>291</v>
      </c>
      <c r="F17" s="394" t="s">
        <v>292</v>
      </c>
      <c r="G17" s="394" t="s">
        <v>293</v>
      </c>
      <c r="H17" s="398" t="n">
        <v>1</v>
      </c>
      <c r="I17" s="399" t="n">
        <v>46183</v>
      </c>
      <c r="J17" s="394" t="s">
        <v>233</v>
      </c>
      <c r="K17" s="394" t="s">
        <v>294</v>
      </c>
      <c r="L17" s="400" t="s">
        <v>295</v>
      </c>
      <c r="M17" s="395"/>
      <c r="N17" s="401"/>
    </row>
    <row r="18" s="425" customFormat="1" ht="102.75" customHeight="1">
      <c r="A18" s="426"/>
      <c r="B18" s="427" t="s">
        <v>283</v>
      </c>
      <c r="C18" s="427" t="s">
        <v>267</v>
      </c>
      <c r="D18" s="428" t="s">
        <v>284</v>
      </c>
      <c r="E18" s="429" t="s">
        <v>296</v>
      </c>
      <c r="F18" s="429" t="s">
        <v>297</v>
      </c>
      <c r="G18" s="429" t="s">
        <v>298</v>
      </c>
      <c r="H18" s="430" t="n">
        <v>40</v>
      </c>
      <c r="I18" s="431" t="n">
        <v>46172</v>
      </c>
      <c r="J18" s="429" t="s">
        <v>233</v>
      </c>
      <c r="K18" s="1131" t="s">
        <v>299</v>
      </c>
      <c r="L18" s="432" t="s">
        <v>300</v>
      </c>
      <c r="M18" s="427"/>
      <c r="N18" s="426"/>
    </row>
    <row r="19" s="150" customFormat="1" ht="39" customHeight="1">
      <c r="A19" s="165"/>
      <c r="B19" s="183" t="s">
        <v>283</v>
      </c>
      <c r="C19" s="183" t="s">
        <v>248</v>
      </c>
      <c r="D19" s="167" t="s">
        <v>301</v>
      </c>
      <c r="E19" s="166" t="s">
        <v>302</v>
      </c>
      <c r="F19" s="166" t="s">
        <v>303</v>
      </c>
      <c r="G19" s="166" t="s">
        <v>304</v>
      </c>
      <c r="H19" s="168" t="n">
        <v>40</v>
      </c>
      <c r="I19" s="326" t="n">
        <v>46172</v>
      </c>
      <c r="J19" s="166" t="s">
        <v>233</v>
      </c>
      <c r="K19" s="166" t="s">
        <v>305</v>
      </c>
      <c r="L19" s="1132" t="s">
        <v>306</v>
      </c>
      <c r="M19" s="183"/>
      <c r="N19" s="165"/>
    </row>
    <row r="20" s="256" customFormat="1" ht="15.75" customHeight="1">
      <c r="A20" s="184" t="s">
        <v>307</v>
      </c>
      <c r="B20" s="162"/>
      <c r="C20" s="162"/>
      <c r="D20" s="185"/>
      <c r="E20" s="162"/>
      <c r="F20" s="162"/>
      <c r="G20" s="162"/>
      <c r="H20" s="186"/>
      <c r="I20" s="324"/>
      <c r="J20" s="162"/>
      <c r="K20" s="162"/>
      <c r="L20" s="187"/>
      <c r="M20" s="162"/>
      <c r="N20" s="188"/>
    </row>
    <row r="21" s="256" customFormat="1" ht="14.25" customHeight="1">
      <c r="A21" s="171" t="s">
        <v>282</v>
      </c>
      <c r="B21" s="164" t="s">
        <v>5</v>
      </c>
      <c r="C21" s="164" t="s">
        <v>5</v>
      </c>
      <c r="D21" s="164" t="s">
        <v>5</v>
      </c>
      <c r="E21" s="164" t="s">
        <v>5</v>
      </c>
      <c r="F21" s="164" t="s">
        <v>5</v>
      </c>
      <c r="G21" s="164" t="s">
        <v>5</v>
      </c>
      <c r="H21" s="164" t="s">
        <v>5</v>
      </c>
      <c r="I21" s="325" t="s">
        <v>5</v>
      </c>
      <c r="J21" s="164" t="s">
        <v>5</v>
      </c>
      <c r="K21" s="164" t="s">
        <v>5</v>
      </c>
      <c r="L21" s="164" t="s">
        <v>5</v>
      </c>
      <c r="M21" s="164" t="s">
        <v>5</v>
      </c>
      <c r="N21" s="164" t="s">
        <v>5</v>
      </c>
    </row>
    <row r="22" s="150" customFormat="1" ht="14.25" customHeight="1">
      <c r="A22" s="165"/>
      <c r="B22" s="183" t="s">
        <v>283</v>
      </c>
      <c r="C22" s="183" t="s">
        <v>267</v>
      </c>
      <c r="D22" s="167" t="s">
        <v>308</v>
      </c>
      <c r="E22" s="166" t="s">
        <v>309</v>
      </c>
      <c r="F22" s="166" t="s">
        <v>310</v>
      </c>
      <c r="G22" s="166" t="s">
        <v>311</v>
      </c>
      <c r="H22" s="168" t="n">
        <v>4</v>
      </c>
      <c r="I22" s="326" t="n">
        <v>46151</v>
      </c>
      <c r="J22" s="166" t="s">
        <v>233</v>
      </c>
      <c r="K22" s="166" t="s">
        <v>312</v>
      </c>
      <c r="L22" s="169" t="s">
        <v>313</v>
      </c>
      <c r="M22" s="183"/>
      <c r="N22" s="165"/>
    </row>
    <row r="23" ht="114.75" customHeight="1">
      <c r="A23" s="347"/>
      <c r="B23" s="108" t="s">
        <v>283</v>
      </c>
      <c r="C23" s="108" t="s">
        <v>267</v>
      </c>
      <c r="D23" s="175" t="s">
        <v>314</v>
      </c>
      <c r="E23" s="174" t="s">
        <v>315</v>
      </c>
      <c r="F23" s="174" t="s">
        <v>316</v>
      </c>
      <c r="G23" s="174" t="s">
        <v>317</v>
      </c>
      <c r="H23" s="177" t="n">
        <v>24</v>
      </c>
      <c r="I23" s="327" t="n">
        <v>46218</v>
      </c>
      <c r="J23" s="174" t="s">
        <v>318</v>
      </c>
      <c r="K23" s="1133" t="s">
        <v>319</v>
      </c>
      <c r="L23" s="1134" t="s">
        <v>320</v>
      </c>
      <c r="M23" s="108"/>
      <c r="N23" s="347"/>
    </row>
    <row r="24" ht="51" customHeight="1">
      <c r="A24" s="347"/>
      <c r="B24" s="189" t="s">
        <v>283</v>
      </c>
      <c r="C24" s="189" t="s">
        <v>248</v>
      </c>
      <c r="D24" s="190" t="s">
        <v>321</v>
      </c>
      <c r="E24" s="191" t="s">
        <v>322</v>
      </c>
      <c r="F24" s="1135" t="s">
        <v>323</v>
      </c>
      <c r="G24" s="191" t="s">
        <v>324</v>
      </c>
      <c r="H24" s="192" t="n">
        <v>8</v>
      </c>
      <c r="I24" s="328" t="n">
        <v>46157</v>
      </c>
      <c r="J24" s="166" t="s">
        <v>233</v>
      </c>
      <c r="K24" s="191" t="s">
        <v>325</v>
      </c>
      <c r="L24" s="193" t="s">
        <v>326</v>
      </c>
      <c r="M24" s="108"/>
      <c r="N24" s="347"/>
    </row>
    <row r="25" s="1108" customFormat="1" ht="25.5" customHeight="1">
      <c r="A25" s="1109"/>
      <c r="B25" s="1110" t="s">
        <v>283</v>
      </c>
      <c r="C25" s="1110" t="s">
        <v>267</v>
      </c>
      <c r="D25" s="1111" t="s">
        <v>284</v>
      </c>
      <c r="E25" s="1113" t="s">
        <v>327</v>
      </c>
      <c r="F25" s="1113" t="s">
        <v>328</v>
      </c>
      <c r="G25" s="1113" t="s">
        <v>329</v>
      </c>
      <c r="H25" s="1114" t="n">
        <v>8</v>
      </c>
      <c r="I25" s="1115" t="n">
        <v>46218</v>
      </c>
      <c r="J25" s="1113" t="s">
        <v>233</v>
      </c>
      <c r="K25" s="1113" t="s">
        <v>330</v>
      </c>
      <c r="L25" s="1136" t="s">
        <v>331</v>
      </c>
      <c r="M25" s="1110"/>
      <c r="N25" s="1109"/>
    </row>
    <row r="26" s="433" customFormat="1" ht="90" customHeight="1">
      <c r="A26" s="434"/>
      <c r="B26" s="435" t="s">
        <v>283</v>
      </c>
      <c r="C26" s="435" t="s">
        <v>267</v>
      </c>
      <c r="D26" s="436" t="s">
        <v>284</v>
      </c>
      <c r="E26" s="437" t="s">
        <v>332</v>
      </c>
      <c r="F26" s="437" t="s">
        <v>333</v>
      </c>
      <c r="G26" s="437" t="s">
        <v>334</v>
      </c>
      <c r="H26" s="438" t="n">
        <v>40</v>
      </c>
      <c r="I26" s="439" t="n">
        <v>46203</v>
      </c>
      <c r="J26" s="440" t="s">
        <v>233</v>
      </c>
      <c r="K26" s="437" t="s">
        <v>335</v>
      </c>
      <c r="L26" s="441" t="s">
        <v>336</v>
      </c>
      <c r="M26" s="435"/>
      <c r="N26" s="434"/>
    </row>
    <row r="27" s="1037" customFormat="1" ht="89.25" customHeight="1">
      <c r="A27" s="1044"/>
      <c r="B27" s="1045" t="s">
        <v>283</v>
      </c>
      <c r="C27" s="1045" t="s">
        <v>267</v>
      </c>
      <c r="D27" s="1046" t="s">
        <v>284</v>
      </c>
      <c r="E27" s="1047" t="s">
        <v>337</v>
      </c>
      <c r="F27" s="1047" t="s">
        <v>338</v>
      </c>
      <c r="G27" s="1047" t="s">
        <v>339</v>
      </c>
      <c r="H27" s="1048" t="n">
        <v>40</v>
      </c>
      <c r="I27" s="1049" t="n">
        <v>46218</v>
      </c>
      <c r="J27" s="1049" t="n">
        <v>46212</v>
      </c>
      <c r="K27" s="1137" t="s">
        <v>340</v>
      </c>
      <c r="L27" s="1138" t="s">
        <v>341</v>
      </c>
      <c r="M27" s="1045"/>
      <c r="N27" s="1044"/>
    </row>
    <row r="28" s="433" customFormat="1" ht="39" customHeight="1">
      <c r="A28" s="434"/>
      <c r="B28" s="435" t="s">
        <v>283</v>
      </c>
      <c r="C28" s="435" t="s">
        <v>248</v>
      </c>
      <c r="D28" s="436" t="s">
        <v>284</v>
      </c>
      <c r="E28" s="437" t="s">
        <v>342</v>
      </c>
      <c r="F28" s="1139" t="s">
        <v>343</v>
      </c>
      <c r="G28" s="437" t="s">
        <v>344</v>
      </c>
      <c r="H28" s="438" t="n">
        <v>40</v>
      </c>
      <c r="I28" s="439" t="n">
        <v>46164</v>
      </c>
      <c r="J28" s="440" t="s">
        <v>233</v>
      </c>
      <c r="K28" s="437" t="s">
        <v>345</v>
      </c>
      <c r="L28" s="441" t="s">
        <v>346</v>
      </c>
      <c r="M28" s="435"/>
      <c r="N28" s="434"/>
    </row>
    <row r="29" s="150" customFormat="1" ht="30" customHeight="1">
      <c r="A29" s="165"/>
      <c r="B29" s="183" t="s">
        <v>283</v>
      </c>
      <c r="C29" s="183" t="s">
        <v>248</v>
      </c>
      <c r="D29" s="167" t="s">
        <v>308</v>
      </c>
      <c r="E29" s="166" t="s">
        <v>347</v>
      </c>
      <c r="F29" s="166" t="s">
        <v>348</v>
      </c>
      <c r="G29" s="166" t="s">
        <v>349</v>
      </c>
      <c r="H29" s="168" t="n">
        <v>0.5</v>
      </c>
      <c r="I29" s="326" t="n">
        <v>46151</v>
      </c>
      <c r="J29" s="166" t="s">
        <v>233</v>
      </c>
      <c r="K29" s="166" t="s">
        <v>350</v>
      </c>
      <c r="L29" s="169"/>
      <c r="M29" s="183"/>
      <c r="N29" s="165"/>
    </row>
    <row r="30" ht="25.5" customHeight="1">
      <c r="A30" s="347"/>
      <c r="B30" s="108" t="s">
        <v>283</v>
      </c>
      <c r="C30" s="108" t="s">
        <v>248</v>
      </c>
      <c r="D30" s="175" t="s">
        <v>301</v>
      </c>
      <c r="E30" s="174" t="s">
        <v>351</v>
      </c>
      <c r="F30" s="174"/>
      <c r="G30" s="174" t="s">
        <v>352</v>
      </c>
      <c r="H30" s="177" t="n">
        <v>40</v>
      </c>
      <c r="I30" s="327" t="n">
        <v>46234</v>
      </c>
      <c r="J30" s="174" t="s">
        <v>318</v>
      </c>
      <c r="K30" s="174" t="s">
        <v>353</v>
      </c>
      <c r="L30" s="182" t="s">
        <v>354</v>
      </c>
      <c r="M30" s="108"/>
      <c r="N30" s="347"/>
    </row>
    <row r="31" ht="25.5" customHeight="1">
      <c r="A31" s="347"/>
      <c r="B31" s="108" t="s">
        <v>283</v>
      </c>
      <c r="C31" s="108" t="s">
        <v>248</v>
      </c>
      <c r="D31" s="175" t="s">
        <v>301</v>
      </c>
      <c r="E31" s="174" t="s">
        <v>355</v>
      </c>
      <c r="F31" s="174" t="s">
        <v>356</v>
      </c>
      <c r="G31" s="174" t="s">
        <v>357</v>
      </c>
      <c r="H31" s="177" t="n">
        <v>40</v>
      </c>
      <c r="I31" s="327" t="n">
        <v>46220</v>
      </c>
      <c r="J31" s="174" t="s">
        <v>318</v>
      </c>
      <c r="K31" s="174" t="s">
        <v>358</v>
      </c>
      <c r="L31" s="182" t="s">
        <v>354</v>
      </c>
      <c r="M31" s="108"/>
      <c r="N31" s="347"/>
    </row>
    <row r="32" s="150" customFormat="1" ht="25.5" customHeight="1">
      <c r="A32" s="165"/>
      <c r="B32" s="183" t="s">
        <v>283</v>
      </c>
      <c r="C32" s="183" t="s">
        <v>267</v>
      </c>
      <c r="D32" s="194" t="s">
        <v>308</v>
      </c>
      <c r="E32" s="166" t="s">
        <v>359</v>
      </c>
      <c r="F32" s="166" t="s">
        <v>360</v>
      </c>
      <c r="G32" s="166" t="s">
        <v>361</v>
      </c>
      <c r="H32" s="168" t="n">
        <v>1</v>
      </c>
      <c r="I32" s="326" t="n">
        <v>46151</v>
      </c>
      <c r="J32" s="166" t="s">
        <v>233</v>
      </c>
      <c r="K32" s="166" t="s">
        <v>362</v>
      </c>
      <c r="L32" s="195" t="s">
        <v>363</v>
      </c>
      <c r="M32" s="196"/>
      <c r="N32" s="172"/>
    </row>
    <row r="33" s="150" customFormat="1" ht="69" customHeight="1">
      <c r="A33" s="165"/>
      <c r="B33" s="183" t="s">
        <v>283</v>
      </c>
      <c r="C33" s="183" t="s">
        <v>248</v>
      </c>
      <c r="D33" s="183" t="s">
        <v>364</v>
      </c>
      <c r="E33" s="166" t="s">
        <v>365</v>
      </c>
      <c r="F33" s="166" t="s">
        <v>366</v>
      </c>
      <c r="G33" s="166" t="s">
        <v>367</v>
      </c>
      <c r="H33" s="168" t="n">
        <v>0</v>
      </c>
      <c r="I33" s="326" t="n">
        <v>46142</v>
      </c>
      <c r="J33" s="166" t="s">
        <v>233</v>
      </c>
      <c r="K33" s="197"/>
      <c r="L33" s="166"/>
      <c r="M33" s="198"/>
      <c r="N33" s="165"/>
      <c r="O33" s="199"/>
      <c r="P33" s="199"/>
      <c r="Q33" s="199"/>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row>
    <row r="34" ht="14.25" customHeight="1">
      <c r="A34" s="200" t="s">
        <v>368</v>
      </c>
      <c r="B34" s="201" t="s">
        <v>5</v>
      </c>
      <c r="C34" s="201" t="s">
        <v>5</v>
      </c>
      <c r="D34" s="201" t="s">
        <v>5</v>
      </c>
      <c r="E34" s="201" t="s">
        <v>5</v>
      </c>
      <c r="F34" s="201" t="s">
        <v>5</v>
      </c>
      <c r="G34" s="201" t="s">
        <v>5</v>
      </c>
      <c r="H34" s="201" t="s">
        <v>5</v>
      </c>
      <c r="I34" s="329" t="s">
        <v>5</v>
      </c>
      <c r="J34" s="201" t="s">
        <v>5</v>
      </c>
      <c r="K34" s="201" t="s">
        <v>5</v>
      </c>
      <c r="L34" s="201" t="s">
        <v>5</v>
      </c>
      <c r="M34" s="201" t="s">
        <v>5</v>
      </c>
      <c r="N34" s="201" t="s">
        <v>5</v>
      </c>
    </row>
    <row r="35" s="111" customFormat="1" ht="45" customHeight="1" outlineLevel="1">
      <c r="A35" s="202"/>
      <c r="B35" s="203" t="s">
        <v>227</v>
      </c>
      <c r="C35" s="203" t="s">
        <v>369</v>
      </c>
      <c r="D35" s="204" t="s">
        <v>370</v>
      </c>
      <c r="E35" s="203" t="s">
        <v>371</v>
      </c>
      <c r="F35" s="203" t="s">
        <v>372</v>
      </c>
      <c r="G35" s="203" t="s">
        <v>373</v>
      </c>
      <c r="H35" s="203" t="s">
        <v>373</v>
      </c>
      <c r="I35" s="330" t="s">
        <v>373</v>
      </c>
      <c r="J35" s="203" t="s">
        <v>233</v>
      </c>
      <c r="K35" s="203" t="s">
        <v>374</v>
      </c>
      <c r="L35" s="1140" t="s">
        <v>375</v>
      </c>
      <c r="M35" s="205"/>
      <c r="N35" s="202"/>
    </row>
    <row r="36" s="111" customFormat="1" ht="28.5" customHeight="1" outlineLevel="1">
      <c r="A36" s="202"/>
      <c r="B36" s="203" t="s">
        <v>227</v>
      </c>
      <c r="C36" s="203" t="s">
        <v>376</v>
      </c>
      <c r="D36" s="204" t="s">
        <v>370</v>
      </c>
      <c r="E36" s="203" t="s">
        <v>377</v>
      </c>
      <c r="F36" s="202" t="s">
        <v>378</v>
      </c>
      <c r="G36" s="203" t="s">
        <v>373</v>
      </c>
      <c r="H36" s="203" t="s">
        <v>373</v>
      </c>
      <c r="I36" s="330" t="s">
        <v>373</v>
      </c>
      <c r="J36" s="203" t="s">
        <v>233</v>
      </c>
      <c r="K36" s="202" t="s">
        <v>379</v>
      </c>
      <c r="L36" s="202" t="s">
        <v>380</v>
      </c>
      <c r="M36" s="202"/>
      <c r="N36" s="202"/>
    </row>
    <row r="37" s="111" customFormat="1" ht="33.75" customHeight="1" outlineLevel="1">
      <c r="A37" s="202"/>
      <c r="B37" s="203" t="s">
        <v>227</v>
      </c>
      <c r="C37" s="203" t="s">
        <v>369</v>
      </c>
      <c r="D37" s="204" t="s">
        <v>370</v>
      </c>
      <c r="E37" s="206" t="s">
        <v>381</v>
      </c>
      <c r="F37" s="206" t="s">
        <v>382</v>
      </c>
      <c r="G37" s="203" t="s">
        <v>373</v>
      </c>
      <c r="H37" s="203" t="s">
        <v>373</v>
      </c>
      <c r="I37" s="330" t="s">
        <v>373</v>
      </c>
      <c r="J37" s="203" t="s">
        <v>233</v>
      </c>
      <c r="K37" s="202" t="s">
        <v>383</v>
      </c>
      <c r="L37" s="202" t="s">
        <v>384</v>
      </c>
      <c r="M37" s="207"/>
      <c r="N37" s="202"/>
    </row>
    <row r="38" s="111" customFormat="1" ht="32.25" customHeight="1" outlineLevel="1">
      <c r="A38" s="202"/>
      <c r="B38" s="203" t="s">
        <v>227</v>
      </c>
      <c r="C38" s="203" t="s">
        <v>369</v>
      </c>
      <c r="D38" s="204" t="s">
        <v>370</v>
      </c>
      <c r="E38" s="206" t="s">
        <v>385</v>
      </c>
      <c r="F38" s="206" t="s">
        <v>386</v>
      </c>
      <c r="G38" s="203" t="s">
        <v>373</v>
      </c>
      <c r="H38" s="203" t="s">
        <v>373</v>
      </c>
      <c r="I38" s="330" t="s">
        <v>373</v>
      </c>
      <c r="J38" s="203" t="s">
        <v>233</v>
      </c>
      <c r="K38" s="208" t="s">
        <v>387</v>
      </c>
      <c r="L38" s="206" t="s">
        <v>388</v>
      </c>
      <c r="M38" s="207"/>
      <c r="N38" s="202"/>
    </row>
    <row r="39" s="151" customFormat="1" ht="105.75" customHeight="1" outlineLevel="1">
      <c r="A39" s="180"/>
      <c r="B39" s="181" t="s">
        <v>227</v>
      </c>
      <c r="C39" s="181" t="s">
        <v>369</v>
      </c>
      <c r="D39" s="180" t="s">
        <v>370</v>
      </c>
      <c r="E39" s="181" t="s">
        <v>389</v>
      </c>
      <c r="F39" s="181" t="s">
        <v>390</v>
      </c>
      <c r="G39" s="181" t="s">
        <v>373</v>
      </c>
      <c r="H39" s="181" t="s">
        <v>373</v>
      </c>
      <c r="I39" s="331" t="s">
        <v>373</v>
      </c>
      <c r="J39" s="203" t="s">
        <v>233</v>
      </c>
      <c r="K39" s="181" t="s">
        <v>391</v>
      </c>
      <c r="L39" s="180" t="s">
        <v>392</v>
      </c>
      <c r="N39" s="180"/>
    </row>
    <row r="40" s="109" customFormat="1" ht="82.5" customHeight="1" outlineLevel="1">
      <c r="A40" s="180"/>
      <c r="B40" s="209" t="s">
        <v>227</v>
      </c>
      <c r="C40" s="209" t="s">
        <v>369</v>
      </c>
      <c r="D40" s="210" t="s">
        <v>370</v>
      </c>
      <c r="E40" s="181" t="s">
        <v>393</v>
      </c>
      <c r="F40" s="181" t="s">
        <v>394</v>
      </c>
      <c r="G40" s="209" t="s">
        <v>373</v>
      </c>
      <c r="H40" s="209" t="s">
        <v>373</v>
      </c>
      <c r="I40" s="332" t="s">
        <v>373</v>
      </c>
      <c r="J40" s="203" t="s">
        <v>233</v>
      </c>
      <c r="K40" s="180" t="s">
        <v>395</v>
      </c>
      <c r="L40" s="181" t="s">
        <v>396</v>
      </c>
      <c r="M40" s="211"/>
      <c r="N40" s="180"/>
    </row>
    <row r="41" s="109" customFormat="1" ht="80.25" customHeight="1" outlineLevel="1">
      <c r="A41" s="180"/>
      <c r="B41" s="209" t="s">
        <v>227</v>
      </c>
      <c r="C41" s="209" t="s">
        <v>369</v>
      </c>
      <c r="D41" s="210" t="s">
        <v>370</v>
      </c>
      <c r="E41" s="180" t="s">
        <v>397</v>
      </c>
      <c r="F41" s="180" t="s">
        <v>398</v>
      </c>
      <c r="G41" s="209" t="s">
        <v>373</v>
      </c>
      <c r="H41" s="209" t="s">
        <v>373</v>
      </c>
      <c r="I41" s="332" t="s">
        <v>373</v>
      </c>
      <c r="J41" s="203" t="s">
        <v>233</v>
      </c>
      <c r="K41" s="180" t="s">
        <v>399</v>
      </c>
      <c r="L41" s="180" t="s">
        <v>392</v>
      </c>
      <c r="M41" s="211"/>
      <c r="N41" s="180"/>
    </row>
    <row r="42" s="109" customFormat="1" ht="51.75" customHeight="1" outlineLevel="1">
      <c r="A42" s="180"/>
      <c r="B42" s="209" t="s">
        <v>227</v>
      </c>
      <c r="C42" s="209" t="s">
        <v>400</v>
      </c>
      <c r="D42" s="210" t="s">
        <v>370</v>
      </c>
      <c r="E42" s="181" t="s">
        <v>401</v>
      </c>
      <c r="F42" s="181" t="s">
        <v>402</v>
      </c>
      <c r="G42" s="209" t="s">
        <v>373</v>
      </c>
      <c r="H42" s="209" t="s">
        <v>373</v>
      </c>
      <c r="I42" s="332" t="s">
        <v>373</v>
      </c>
      <c r="J42" s="203" t="s">
        <v>233</v>
      </c>
      <c r="K42" s="209" t="s">
        <v>403</v>
      </c>
      <c r="L42" s="180" t="s">
        <v>404</v>
      </c>
      <c r="M42" s="212"/>
      <c r="N42" s="180"/>
    </row>
    <row r="43" s="109" customFormat="1" ht="23.25" customHeight="1" outlineLevel="1">
      <c r="A43" s="180"/>
      <c r="B43" s="209" t="s">
        <v>227</v>
      </c>
      <c r="C43" s="209" t="s">
        <v>369</v>
      </c>
      <c r="D43" s="210" t="s">
        <v>370</v>
      </c>
      <c r="E43" s="181" t="s">
        <v>405</v>
      </c>
      <c r="F43" s="181" t="s">
        <v>406</v>
      </c>
      <c r="G43" s="209" t="s">
        <v>373</v>
      </c>
      <c r="H43" s="209" t="s">
        <v>373</v>
      </c>
      <c r="I43" s="332" t="s">
        <v>373</v>
      </c>
      <c r="J43" s="203" t="s">
        <v>233</v>
      </c>
      <c r="K43" s="181" t="s">
        <v>391</v>
      </c>
      <c r="L43" s="180" t="s">
        <v>407</v>
      </c>
      <c r="M43" s="212"/>
      <c r="N43" s="180"/>
    </row>
    <row r="44" s="152" customFormat="1" ht="57.75" customHeight="1">
      <c r="A44" s="213"/>
      <c r="B44" s="214" t="s">
        <v>227</v>
      </c>
      <c r="C44" s="214" t="s">
        <v>408</v>
      </c>
      <c r="D44" s="215" t="s">
        <v>370</v>
      </c>
      <c r="E44" s="216" t="s">
        <v>409</v>
      </c>
      <c r="F44" s="217" t="s">
        <v>410</v>
      </c>
      <c r="G44" s="214" t="s">
        <v>373</v>
      </c>
      <c r="H44" s="214" t="s">
        <v>373</v>
      </c>
      <c r="I44" s="333" t="s">
        <v>373</v>
      </c>
      <c r="J44" s="214" t="s">
        <v>233</v>
      </c>
      <c r="K44" s="213" t="s">
        <v>411</v>
      </c>
      <c r="L44" s="217" t="s">
        <v>412</v>
      </c>
      <c r="M44" s="218"/>
      <c r="N44" s="213"/>
    </row>
    <row r="45" ht="42.75" customHeight="1">
      <c r="A45" s="156"/>
      <c r="B45" s="214" t="s">
        <v>227</v>
      </c>
      <c r="C45" s="214" t="s">
        <v>408</v>
      </c>
      <c r="D45" s="215" t="s">
        <v>370</v>
      </c>
      <c r="E45" s="216" t="s">
        <v>413</v>
      </c>
      <c r="F45" s="217" t="s">
        <v>414</v>
      </c>
      <c r="G45" s="214" t="s">
        <v>373</v>
      </c>
      <c r="H45" s="214" t="s">
        <v>373</v>
      </c>
      <c r="I45" s="333" t="s">
        <v>373</v>
      </c>
      <c r="J45" s="214" t="s">
        <v>233</v>
      </c>
      <c r="K45" s="213" t="s">
        <v>415</v>
      </c>
      <c r="L45" s="217" t="s">
        <v>416</v>
      </c>
      <c r="M45" s="53"/>
      <c r="N45" s="156"/>
    </row>
    <row r="46" s="109" customFormat="1" ht="42.75" customHeight="1">
      <c r="A46" s="180"/>
      <c r="B46" s="209" t="s">
        <v>227</v>
      </c>
      <c r="C46" s="209" t="s">
        <v>248</v>
      </c>
      <c r="D46" s="210" t="s">
        <v>417</v>
      </c>
      <c r="E46" s="219" t="s">
        <v>418</v>
      </c>
      <c r="F46" s="181" t="s">
        <v>419</v>
      </c>
      <c r="G46" s="209" t="s">
        <v>373</v>
      </c>
      <c r="H46" s="209" t="s">
        <v>373</v>
      </c>
      <c r="I46" s="332" t="s">
        <v>373</v>
      </c>
      <c r="J46" s="214" t="s">
        <v>233</v>
      </c>
      <c r="K46" s="180" t="s">
        <v>420</v>
      </c>
      <c r="L46" s="1141" t="s">
        <v>421</v>
      </c>
      <c r="M46" s="212"/>
      <c r="N46" s="180"/>
    </row>
    <row r="47" s="318" customFormat="1" ht="42.75" customHeight="1">
      <c r="A47" s="312"/>
      <c r="B47" s="313" t="s">
        <v>227</v>
      </c>
      <c r="C47" s="313" t="s">
        <v>248</v>
      </c>
      <c r="D47" s="314" t="s">
        <v>417</v>
      </c>
      <c r="E47" s="315" t="s">
        <v>422</v>
      </c>
      <c r="F47" s="316" t="s">
        <v>423</v>
      </c>
      <c r="G47" s="313" t="s">
        <v>373</v>
      </c>
      <c r="H47" s="313" t="s">
        <v>373</v>
      </c>
      <c r="I47" s="330" t="s">
        <v>373</v>
      </c>
      <c r="J47" s="214" t="s">
        <v>233</v>
      </c>
      <c r="K47" s="312" t="s">
        <v>424</v>
      </c>
      <c r="L47" s="316" t="s">
        <v>425</v>
      </c>
      <c r="M47" s="317"/>
      <c r="N47" s="312"/>
    </row>
  </sheetData>
  <sheetProtection insertHyperlinks="0" autoFilter="0"/>
  <autoFilter ref="A2:AN47"/>
  <mergeCells count="3">
    <mergeCell ref="J1:M1"/>
    <mergeCell ref="C1:E1"/>
    <mergeCell ref="F1:H1"/>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2" max="2" width="10.8310546875" customWidth="1" style="112"/>
    <col min="3" max="3" width="21.3310546875" customWidth="1" style="113"/>
    <col min="4" max="4" width="39.1640625" customWidth="1" style="113"/>
    <col min="5" max="5" width="38.1650390625" customWidth="1" style="113"/>
    <col min="6" max="6" width="66.9990234375" customWidth="1" style="113"/>
    <col min="7" max="7" width="51.9990234375" customWidth="1" style="113"/>
    <col min="8" max="8" width="36.9990234375" customWidth="1" style="113"/>
  </cols>
  <sheetData>
    <row r="1" ht="15.75" customHeight="1">
      <c r="A1" s="891" t="s">
        <v>426</v>
      </c>
      <c r="B1" s="892"/>
      <c r="C1" s="893"/>
      <c r="D1" s="1018" t="s">
        <v>427</v>
      </c>
      <c r="E1" s="1019" t="s">
        <v>428</v>
      </c>
      <c r="F1" s="890"/>
      <c r="G1" s="884" t="s">
        <v>429</v>
      </c>
      <c r="H1" s="885"/>
    </row>
    <row r="2" ht="26.25" customHeight="1">
      <c r="A2" s="886" t="s">
        <v>430</v>
      </c>
      <c r="B2" s="887"/>
      <c r="C2" s="888"/>
      <c r="D2" s="888"/>
      <c r="E2" s="888"/>
      <c r="F2" s="888"/>
      <c r="G2" s="888"/>
      <c r="H2" s="889"/>
    </row>
    <row r="3" ht="15" customHeight="1">
      <c r="A3" s="114" t="s">
        <v>431</v>
      </c>
      <c r="B3" s="115" t="s">
        <v>432</v>
      </c>
      <c r="C3" s="116" t="s">
        <v>433</v>
      </c>
      <c r="D3" s="116" t="s">
        <v>434</v>
      </c>
      <c r="E3" s="116" t="s">
        <v>435</v>
      </c>
      <c r="F3" s="116" t="s">
        <v>222</v>
      </c>
      <c r="G3" s="116" t="s">
        <v>436</v>
      </c>
      <c r="H3" s="116" t="s">
        <v>3</v>
      </c>
    </row>
    <row r="4" s="261" customFormat="1" ht="92.25" customHeight="1">
      <c r="A4" s="262" t="n">
        <v>1</v>
      </c>
      <c r="B4" s="263" t="n">
        <v>46148</v>
      </c>
      <c r="C4" s="264" t="s">
        <v>229</v>
      </c>
      <c r="D4" s="265" t="s">
        <v>437</v>
      </c>
      <c r="E4" s="266"/>
      <c r="F4" s="266" t="s">
        <v>438</v>
      </c>
      <c r="G4" s="267" t="s">
        <v>439</v>
      </c>
      <c r="H4" s="268"/>
    </row>
    <row r="5" s="109" customFormat="1" ht="73.5" customHeight="1">
      <c r="A5" s="121" t="n">
        <v>2</v>
      </c>
      <c r="B5" s="122" t="n">
        <v>46148</v>
      </c>
      <c r="C5" s="123" t="s">
        <v>229</v>
      </c>
      <c r="D5" s="124" t="s">
        <v>440</v>
      </c>
      <c r="E5" s="125"/>
      <c r="F5" s="125" t="s">
        <v>441</v>
      </c>
      <c r="G5" s="1142" t="s">
        <v>442</v>
      </c>
      <c r="H5" s="125" t="s">
        <v>443</v>
      </c>
    </row>
    <row r="6" ht="140.1" customHeight="1">
      <c r="A6" s="126" t="n">
        <v>3</v>
      </c>
      <c r="B6" s="117" t="n">
        <v>46148</v>
      </c>
      <c r="C6" s="118" t="s">
        <v>229</v>
      </c>
      <c r="D6" s="127" t="s">
        <v>444</v>
      </c>
      <c r="E6" s="128"/>
      <c r="F6" s="128" t="s">
        <v>445</v>
      </c>
      <c r="G6" s="1143" t="s">
        <v>446</v>
      </c>
      <c r="H6" s="1144" t="s">
        <v>447</v>
      </c>
    </row>
    <row r="7" s="261" customFormat="1" ht="57.75" customHeight="1">
      <c r="A7" s="258" t="n">
        <v>4</v>
      </c>
      <c r="B7" s="263" t="n">
        <v>46148</v>
      </c>
      <c r="C7" s="264" t="s">
        <v>229</v>
      </c>
      <c r="D7" s="259" t="s">
        <v>448</v>
      </c>
      <c r="E7" s="259"/>
      <c r="F7" s="259" t="s">
        <v>449</v>
      </c>
      <c r="G7" s="267" t="s">
        <v>450</v>
      </c>
      <c r="H7" s="259"/>
    </row>
    <row r="8" ht="58.5" customHeight="1">
      <c r="A8" s="126" t="n">
        <v>5</v>
      </c>
      <c r="B8" s="117" t="n">
        <v>46148</v>
      </c>
      <c r="C8" s="118" t="s">
        <v>229</v>
      </c>
      <c r="D8" s="128" t="s">
        <v>451</v>
      </c>
      <c r="E8" s="128"/>
      <c r="F8" s="128" t="s">
        <v>452</v>
      </c>
      <c r="G8" s="119" t="s">
        <v>453</v>
      </c>
      <c r="H8" s="128" t="s">
        <v>454</v>
      </c>
    </row>
    <row r="9" ht="58.5" customHeight="1">
      <c r="A9" s="126" t="n">
        <v>6</v>
      </c>
      <c r="B9" s="117" t="n">
        <v>46148</v>
      </c>
      <c r="C9" s="118" t="s">
        <v>229</v>
      </c>
      <c r="D9" s="128" t="s">
        <v>455</v>
      </c>
      <c r="E9" s="128"/>
      <c r="F9" s="128" t="s">
        <v>456</v>
      </c>
      <c r="G9" s="119" t="s">
        <v>457</v>
      </c>
      <c r="H9" s="128" t="s">
        <v>458</v>
      </c>
    </row>
    <row r="10" ht="58.5" customHeight="1">
      <c r="A10" s="126" t="n">
        <v>7</v>
      </c>
      <c r="B10" s="117" t="n">
        <v>46148</v>
      </c>
      <c r="C10" s="118" t="s">
        <v>229</v>
      </c>
      <c r="D10" s="128" t="s">
        <v>459</v>
      </c>
      <c r="E10" s="128"/>
      <c r="F10" s="128" t="s">
        <v>460</v>
      </c>
      <c r="G10" s="255" t="s">
        <v>461</v>
      </c>
      <c r="H10" s="128" t="s">
        <v>462</v>
      </c>
    </row>
    <row r="11" s="261" customFormat="1" ht="58.5" customHeight="1">
      <c r="A11" s="258" t="n">
        <v>8</v>
      </c>
      <c r="B11" s="260" t="n">
        <v>46149</v>
      </c>
      <c r="C11" s="264" t="s">
        <v>229</v>
      </c>
      <c r="D11" s="259" t="s">
        <v>463</v>
      </c>
      <c r="E11" s="259"/>
      <c r="F11" s="259" t="s">
        <v>464</v>
      </c>
      <c r="G11" s="267" t="s">
        <v>465</v>
      </c>
      <c r="H11" s="259" t="s">
        <v>466</v>
      </c>
    </row>
    <row r="12" ht="62.25" customHeight="1">
      <c r="A12" s="126" t="n">
        <v>9</v>
      </c>
      <c r="B12" s="129" t="n">
        <v>46149</v>
      </c>
      <c r="C12" s="118" t="s">
        <v>229</v>
      </c>
      <c r="D12" s="128" t="s">
        <v>467</v>
      </c>
      <c r="E12" s="128"/>
      <c r="F12" s="128" t="s">
        <v>468</v>
      </c>
      <c r="G12" s="119" t="s">
        <v>469</v>
      </c>
      <c r="H12" s="128" t="s">
        <v>470</v>
      </c>
    </row>
    <row r="13" ht="58.5" customHeight="1">
      <c r="A13" s="126" t="n">
        <v>10</v>
      </c>
      <c r="B13" s="129" t="n">
        <v>46149</v>
      </c>
      <c r="C13" s="118" t="s">
        <v>229</v>
      </c>
      <c r="D13" s="130" t="s">
        <v>471</v>
      </c>
      <c r="E13" s="130"/>
      <c r="F13" s="130" t="s">
        <v>472</v>
      </c>
      <c r="G13" s="119" t="s">
        <v>473</v>
      </c>
      <c r="H13" s="130" t="s">
        <v>474</v>
      </c>
    </row>
    <row r="14" s="110" customFormat="1" ht="58.5" customHeight="1">
      <c r="A14" s="126" t="n">
        <v>11</v>
      </c>
      <c r="B14" s="131" t="n">
        <v>46149</v>
      </c>
      <c r="C14" s="132" t="s">
        <v>229</v>
      </c>
      <c r="D14" s="133" t="s">
        <v>475</v>
      </c>
      <c r="E14" s="133"/>
      <c r="F14" s="133" t="s">
        <v>476</v>
      </c>
      <c r="G14" s="119" t="s">
        <v>477</v>
      </c>
      <c r="H14" s="130"/>
    </row>
    <row r="15" s="111" customFormat="1" ht="42" customHeight="1">
      <c r="A15" s="134" t="n">
        <v>12</v>
      </c>
      <c r="B15" s="135" t="n">
        <v>46151</v>
      </c>
      <c r="C15" s="136" t="s">
        <v>229</v>
      </c>
      <c r="D15" s="137" t="s">
        <v>478</v>
      </c>
      <c r="E15" s="137"/>
      <c r="F15" s="137" t="s">
        <v>479</v>
      </c>
      <c r="G15" s="138" t="s">
        <v>480</v>
      </c>
      <c r="H15" s="139"/>
    </row>
    <row r="16" ht="15" customHeight="1">
      <c r="A16" s="886" t="s">
        <v>481</v>
      </c>
      <c r="B16" s="887"/>
      <c r="C16" s="888"/>
      <c r="D16" s="888"/>
      <c r="E16" s="888"/>
      <c r="F16" s="888"/>
      <c r="G16" s="888"/>
      <c r="H16" s="889"/>
    </row>
    <row r="17" ht="14.25" customHeight="1">
      <c r="A17" s="114" t="s">
        <v>431</v>
      </c>
      <c r="B17" s="115" t="s">
        <v>482</v>
      </c>
      <c r="C17" s="116" t="s">
        <v>433</v>
      </c>
      <c r="D17" s="116" t="s">
        <v>483</v>
      </c>
      <c r="E17" s="116" t="s">
        <v>484</v>
      </c>
      <c r="F17" s="116" t="s">
        <v>485</v>
      </c>
      <c r="G17" s="116" t="s">
        <v>486</v>
      </c>
      <c r="H17" s="116" t="s">
        <v>3</v>
      </c>
    </row>
    <row r="18" ht="186.94999999999996" customHeight="1">
      <c r="A18" s="140" t="n">
        <v>2</v>
      </c>
      <c r="B18" s="141" t="n">
        <v>46148</v>
      </c>
      <c r="C18" s="142" t="s">
        <v>229</v>
      </c>
      <c r="D18" s="143" t="s">
        <v>487</v>
      </c>
      <c r="E18" s="1145" t="s">
        <v>488</v>
      </c>
      <c r="F18" s="133" t="s">
        <v>489</v>
      </c>
      <c r="G18" s="144" t="s">
        <v>490</v>
      </c>
      <c r="H18" s="145" t="s">
        <v>491</v>
      </c>
    </row>
    <row r="19" ht="110.09999999999998" customHeight="1">
      <c r="A19" s="140" t="n">
        <v>3</v>
      </c>
      <c r="B19" s="141" t="n">
        <v>46149</v>
      </c>
      <c r="C19" s="142" t="s">
        <v>229</v>
      </c>
      <c r="D19" s="143" t="s">
        <v>492</v>
      </c>
      <c r="E19" s="71" t="s">
        <v>493</v>
      </c>
      <c r="F19" s="120"/>
      <c r="G19" s="107" t="s">
        <v>494</v>
      </c>
      <c r="H19" s="146"/>
    </row>
    <row r="20" ht="74.25" customHeight="1">
      <c r="A20" s="140" t="n">
        <v>3</v>
      </c>
      <c r="B20" s="141" t="n">
        <v>46151</v>
      </c>
      <c r="C20" s="142" t="s">
        <v>229</v>
      </c>
      <c r="D20" s="130" t="s">
        <v>495</v>
      </c>
      <c r="E20" s="120" t="s">
        <v>496</v>
      </c>
      <c r="F20" s="120" t="s">
        <v>497</v>
      </c>
      <c r="G20" s="107" t="s">
        <v>498</v>
      </c>
      <c r="H20" s="146"/>
    </row>
    <row r="21" ht="74.25" customHeight="1">
      <c r="A21" s="140" t="n">
        <v>3</v>
      </c>
      <c r="B21" s="147" t="n">
        <v>46154</v>
      </c>
      <c r="C21" s="142" t="s">
        <v>229</v>
      </c>
      <c r="D21" s="143" t="s">
        <v>499</v>
      </c>
      <c r="E21" s="120" t="s">
        <v>500</v>
      </c>
      <c r="F21" s="120" t="s">
        <v>501</v>
      </c>
      <c r="G21" s="107" t="s">
        <v>502</v>
      </c>
      <c r="H21" s="146"/>
    </row>
    <row r="22" ht="74.25" customHeight="1">
      <c r="A22" s="140" t="n">
        <v>3</v>
      </c>
      <c r="B22" s="147"/>
      <c r="C22" s="148"/>
      <c r="D22" s="130"/>
      <c r="E22" s="120"/>
      <c r="F22" s="120"/>
      <c r="G22" s="149"/>
      <c r="H22" s="146"/>
    </row>
    <row r="23" ht="74.25" customHeight="1">
      <c r="A23" s="140" t="n">
        <v>3</v>
      </c>
      <c r="B23" s="147"/>
      <c r="C23" s="148"/>
      <c r="D23" s="130"/>
      <c r="E23" s="120"/>
      <c r="F23" s="120"/>
      <c r="G23" s="149"/>
      <c r="H23" s="146"/>
    </row>
    <row r="24" ht="14.25" customHeight="1">
      <c r="A24" s="140" t="n">
        <v>3</v>
      </c>
      <c r="B24" s="147"/>
      <c r="C24" s="148"/>
      <c r="D24" s="130"/>
      <c r="E24" s="120"/>
      <c r="F24" s="120"/>
      <c r="G24" s="149"/>
      <c r="H24" s="146"/>
    </row>
  </sheetData>
  <sheetProtection insertHyperlinks="0" autoFilter="0"/>
  <mergeCells count="5">
    <mergeCell ref="A2:H2"/>
    <mergeCell ref="G1:H1"/>
    <mergeCell ref="A16:H16"/>
    <mergeCell ref="E1:F1"/>
    <mergeCell ref="A1:C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00B050"/>
    <outlinePr summaryBelow="0" summaryRight="0"/>
  </sheetPr>
  <dimension ref="A1"/>
  <sheetViews>
    <sheetView workbookViewId="0"/>
  </sheetViews>
  <sheetFormatPr baseColWidth="10" defaultColWidth="9.1640625" defaultRowHeight="12" customHeight="1"/>
  <cols>
    <col min="1" max="1" width="22.8310546875" customWidth="1" style="478"/>
    <col min="2" max="2" width="64.6640625" customWidth="1" style="485"/>
    <col min="3" max="3" width="10.998046875" customWidth="1" style="484"/>
    <col min="4" max="4" width="17.8330078125" customWidth="1" style="483"/>
    <col min="5" max="5" width="14.4990234375" customWidth="1" style="482"/>
    <col min="6" max="6" width="15.83203125" customWidth="1" style="481"/>
    <col min="7" max="7" width="17.33203125" customWidth="1" style="480"/>
    <col min="8" max="8" width="16.998046875" customWidth="1" style="479"/>
    <col min="9" max="9" width="79.166015625" customWidth="1" style="478"/>
    <col min="10" max="40" width="9.1640625" style="478"/>
  </cols>
  <sheetData>
    <row r="1" s="733" customFormat="1" ht="14.25" customHeight="1">
      <c r="A1" s="912" t="s">
        <v>503</v>
      </c>
      <c r="B1" s="912"/>
      <c r="C1" s="909" t="s">
        <v>504</v>
      </c>
      <c r="D1" s="910"/>
      <c r="E1" s="911"/>
      <c r="F1" s="918" t="s">
        <v>505</v>
      </c>
      <c r="G1" s="919"/>
      <c r="H1" s="920"/>
      <c r="I1" s="506"/>
    </row>
    <row r="2" s="733" customFormat="1" ht="18" customHeight="1">
      <c r="A2" s="735" t="s">
        <v>506</v>
      </c>
      <c r="B2" s="735" t="s">
        <v>507</v>
      </c>
      <c r="C2" s="735" t="s">
        <v>508</v>
      </c>
      <c r="D2" s="735" t="s">
        <v>509</v>
      </c>
      <c r="E2" s="784" t="s">
        <v>510</v>
      </c>
      <c r="F2" s="498" t="s">
        <v>511</v>
      </c>
      <c r="G2" s="656" t="s">
        <v>512</v>
      </c>
      <c r="H2" s="568" t="s">
        <v>513</v>
      </c>
      <c r="I2" s="777" t="s">
        <v>514</v>
      </c>
    </row>
    <row r="3" s="733" customFormat="1" ht="18" customHeight="1">
      <c r="A3" s="735" t="s">
        <v>515</v>
      </c>
      <c r="B3" s="734"/>
      <c r="C3" s="498"/>
      <c r="D3" s="498"/>
      <c r="E3" s="784"/>
      <c r="F3" s="498"/>
      <c r="G3" s="656"/>
      <c r="H3" s="568"/>
      <c r="I3" s="568"/>
    </row>
    <row r="4" s="733" customFormat="1" ht="71.25" customHeight="1" outlineLevel="2">
      <c r="A4" s="903" t="s">
        <v>516</v>
      </c>
      <c r="B4" s="767" t="s">
        <v>517</v>
      </c>
      <c r="C4" s="767"/>
      <c r="D4" s="768" t="s">
        <v>518</v>
      </c>
      <c r="E4" s="785" t="s">
        <v>519</v>
      </c>
      <c r="F4" s="494"/>
      <c r="G4" s="492" t="n">
        <v>60</v>
      </c>
      <c r="H4" s="488"/>
      <c r="I4" s="1146" t="s">
        <v>520</v>
      </c>
      <c r="J4" s="478"/>
      <c r="K4" s="478"/>
      <c r="L4" s="478"/>
      <c r="M4" s="478"/>
      <c r="N4" s="478"/>
      <c r="O4" s="478"/>
      <c r="P4" s="478"/>
      <c r="Q4" s="478"/>
      <c r="R4" s="478"/>
      <c r="S4" s="478"/>
      <c r="T4" s="478"/>
      <c r="U4" s="478"/>
      <c r="V4" s="478"/>
      <c r="W4" s="478"/>
      <c r="X4" s="478"/>
      <c r="Y4" s="478"/>
      <c r="Z4" s="478"/>
      <c r="AA4" s="478"/>
      <c r="AB4" s="478"/>
      <c r="AC4" s="478"/>
      <c r="AD4" s="478"/>
      <c r="AE4" s="478"/>
      <c r="AF4" s="478"/>
      <c r="AG4" s="478"/>
      <c r="AH4" s="478"/>
      <c r="AI4" s="478"/>
      <c r="AJ4" s="478"/>
      <c r="AK4" s="478"/>
      <c r="AL4" s="478"/>
      <c r="AM4" s="478"/>
      <c r="AN4" s="478"/>
    </row>
    <row r="5" s="733" customFormat="1" ht="42.75" customHeight="1">
      <c r="A5" s="904"/>
      <c r="B5" s="769" t="s">
        <v>521</v>
      </c>
      <c r="C5" s="737" t="s">
        <v>522</v>
      </c>
      <c r="D5" s="768" t="s">
        <v>518</v>
      </c>
      <c r="E5" s="785" t="s">
        <v>523</v>
      </c>
      <c r="F5" s="494"/>
      <c r="G5" s="492" t="n">
        <v>5</v>
      </c>
      <c r="H5" s="488"/>
      <c r="I5" s="814" t="s">
        <v>524</v>
      </c>
      <c r="J5" s="478"/>
      <c r="K5" s="478"/>
      <c r="L5" s="478"/>
      <c r="M5" s="478"/>
      <c r="N5" s="478"/>
      <c r="O5" s="478"/>
      <c r="P5" s="478"/>
      <c r="Q5" s="478"/>
      <c r="R5" s="478"/>
      <c r="S5" s="478"/>
      <c r="T5" s="478"/>
      <c r="U5" s="478"/>
      <c r="V5" s="478"/>
      <c r="W5" s="478"/>
      <c r="X5" s="478"/>
      <c r="Y5" s="478"/>
      <c r="Z5" s="478"/>
      <c r="AA5" s="478"/>
      <c r="AB5" s="478"/>
      <c r="AC5" s="478"/>
      <c r="AD5" s="478"/>
      <c r="AE5" s="478"/>
      <c r="AF5" s="478"/>
      <c r="AG5" s="478"/>
      <c r="AH5" s="478"/>
      <c r="AI5" s="478"/>
      <c r="AJ5" s="478"/>
      <c r="AK5" s="478"/>
      <c r="AL5" s="478"/>
      <c r="AM5" s="478"/>
      <c r="AN5" s="478"/>
    </row>
    <row r="6" s="486" customFormat="1" ht="19.5" customHeight="1">
      <c r="A6" s="904"/>
      <c r="B6" s="900" t="s">
        <v>525</v>
      </c>
      <c r="C6" s="901"/>
      <c r="D6" s="901"/>
      <c r="E6" s="901"/>
      <c r="F6" s="901"/>
      <c r="G6" s="488" t="n">
        <f>SUM(G4:G5)</f>
        <v>65</v>
      </c>
      <c r="H6" s="488" t="n">
        <f>SUM(H4:H4)</f>
        <v>0</v>
      </c>
      <c r="I6" s="782"/>
    </row>
    <row r="7" s="733" customFormat="1" ht="18" customHeight="1">
      <c r="A7" s="735" t="s">
        <v>526</v>
      </c>
      <c r="B7" s="734"/>
      <c r="C7" s="498"/>
      <c r="D7" s="498"/>
      <c r="E7" s="784"/>
      <c r="F7" s="498"/>
      <c r="G7" s="656"/>
      <c r="H7" s="568"/>
      <c r="I7" s="568"/>
    </row>
    <row r="8" s="775" customFormat="1" ht="15.75" customHeight="1" outlineLevel="1">
      <c r="A8" s="900" t="s">
        <v>527</v>
      </c>
      <c r="B8" s="776" t="s">
        <v>528</v>
      </c>
      <c r="C8" s="765" t="s">
        <v>5</v>
      </c>
      <c r="D8" s="765" t="s">
        <v>5</v>
      </c>
      <c r="E8" s="786" t="s">
        <v>5</v>
      </c>
      <c r="F8" s="765" t="s">
        <v>5</v>
      </c>
      <c r="G8" s="765" t="s">
        <v>5</v>
      </c>
      <c r="H8" s="765" t="s">
        <v>5</v>
      </c>
      <c r="I8" s="765" t="s">
        <v>5</v>
      </c>
    </row>
    <row r="9" s="733" customFormat="1" ht="18" customHeight="1" outlineLevel="2">
      <c r="A9" s="902"/>
      <c r="B9" s="774" t="s">
        <v>529</v>
      </c>
      <c r="C9" s="742"/>
      <c r="D9" s="742" t="s">
        <v>530</v>
      </c>
      <c r="E9" s="660" t="n">
        <v>45982</v>
      </c>
      <c r="F9" s="660" t="n">
        <v>45982</v>
      </c>
      <c r="G9" s="616" t="n">
        <v>32</v>
      </c>
      <c r="H9" s="616" t="n">
        <v>32</v>
      </c>
      <c r="I9" s="488"/>
      <c r="J9" s="478"/>
      <c r="K9" s="478"/>
      <c r="L9" s="478"/>
      <c r="M9" s="478"/>
      <c r="N9" s="478"/>
      <c r="O9" s="478"/>
      <c r="P9" s="478"/>
      <c r="Q9" s="478"/>
      <c r="R9" s="478"/>
      <c r="S9" s="478"/>
      <c r="T9" s="478"/>
      <c r="U9" s="478"/>
      <c r="V9" s="478"/>
      <c r="W9" s="478"/>
      <c r="X9" s="478"/>
      <c r="Y9" s="478"/>
      <c r="Z9" s="478"/>
      <c r="AA9" s="478"/>
      <c r="AB9" s="478"/>
      <c r="AC9" s="478"/>
      <c r="AD9" s="478"/>
      <c r="AE9" s="478"/>
      <c r="AF9" s="478"/>
      <c r="AG9" s="478"/>
      <c r="AH9" s="478"/>
      <c r="AI9" s="478"/>
      <c r="AJ9" s="478"/>
      <c r="AK9" s="478"/>
      <c r="AL9" s="478"/>
      <c r="AM9" s="478"/>
      <c r="AN9" s="478"/>
    </row>
    <row r="10" s="733" customFormat="1" ht="18" customHeight="1" outlineLevel="2">
      <c r="A10" s="902"/>
      <c r="B10" s="774" t="s">
        <v>531</v>
      </c>
      <c r="C10" s="742"/>
      <c r="D10" s="742" t="s">
        <v>532</v>
      </c>
      <c r="E10" s="660" t="n">
        <v>45982</v>
      </c>
      <c r="F10" s="660" t="n">
        <v>45982</v>
      </c>
      <c r="G10" s="616" t="n">
        <v>32</v>
      </c>
      <c r="H10" s="616" t="n">
        <v>32</v>
      </c>
      <c r="I10" s="488"/>
      <c r="J10" s="478"/>
      <c r="K10" s="478"/>
      <c r="L10" s="478"/>
      <c r="M10" s="478"/>
      <c r="N10" s="478"/>
      <c r="O10" s="478"/>
      <c r="P10" s="478"/>
      <c r="Q10" s="478"/>
      <c r="R10" s="478"/>
      <c r="S10" s="478"/>
      <c r="T10" s="478"/>
      <c r="U10" s="478"/>
      <c r="V10" s="478"/>
      <c r="W10" s="478"/>
      <c r="X10" s="478"/>
      <c r="Y10" s="478"/>
      <c r="Z10" s="478"/>
      <c r="AA10" s="478"/>
      <c r="AB10" s="478"/>
      <c r="AC10" s="478"/>
      <c r="AD10" s="478"/>
      <c r="AE10" s="478"/>
      <c r="AF10" s="478"/>
      <c r="AG10" s="478"/>
      <c r="AH10" s="478"/>
      <c r="AI10" s="478"/>
      <c r="AJ10" s="478"/>
      <c r="AK10" s="478"/>
      <c r="AL10" s="478"/>
      <c r="AM10" s="478"/>
      <c r="AN10" s="478"/>
    </row>
    <row r="11" s="733" customFormat="1" ht="18" customHeight="1" outlineLevel="2">
      <c r="A11" s="902"/>
      <c r="B11" s="774" t="s">
        <v>533</v>
      </c>
      <c r="C11" s="742"/>
      <c r="D11" s="742" t="s">
        <v>530</v>
      </c>
      <c r="E11" s="660" t="s">
        <v>534</v>
      </c>
      <c r="F11" s="772" t="s">
        <v>534</v>
      </c>
      <c r="G11" s="616" t="n">
        <v>32</v>
      </c>
      <c r="H11" s="616" t="n">
        <v>32</v>
      </c>
      <c r="I11" s="488"/>
      <c r="J11" s="478"/>
      <c r="K11" s="478"/>
      <c r="L11" s="478"/>
      <c r="M11" s="478"/>
      <c r="N11" s="478"/>
      <c r="O11" s="478"/>
      <c r="P11" s="478"/>
      <c r="Q11" s="478"/>
      <c r="R11" s="478"/>
      <c r="S11" s="478"/>
      <c r="T11" s="478"/>
      <c r="U11" s="478"/>
      <c r="V11" s="478"/>
      <c r="W11" s="478"/>
      <c r="X11" s="478"/>
      <c r="Y11" s="478"/>
      <c r="Z11" s="478"/>
      <c r="AA11" s="478"/>
      <c r="AB11" s="478"/>
      <c r="AC11" s="478"/>
      <c r="AD11" s="478"/>
      <c r="AE11" s="478"/>
      <c r="AF11" s="478"/>
      <c r="AG11" s="478"/>
      <c r="AH11" s="478"/>
      <c r="AI11" s="478"/>
      <c r="AJ11" s="478"/>
      <c r="AK11" s="478"/>
      <c r="AL11" s="478"/>
      <c r="AM11" s="478"/>
      <c r="AN11" s="478"/>
    </row>
    <row r="12" s="733" customFormat="1" ht="18" customHeight="1" outlineLevel="2">
      <c r="A12" s="902"/>
      <c r="B12" s="774" t="s">
        <v>535</v>
      </c>
      <c r="C12" s="742"/>
      <c r="D12" s="742" t="s">
        <v>530</v>
      </c>
      <c r="E12" s="660" t="s">
        <v>534</v>
      </c>
      <c r="F12" s="772" t="s">
        <v>534</v>
      </c>
      <c r="G12" s="616" t="n">
        <v>32</v>
      </c>
      <c r="H12" s="616" t="n">
        <v>32</v>
      </c>
      <c r="I12" s="488"/>
      <c r="J12" s="478"/>
      <c r="K12" s="478"/>
      <c r="L12" s="478"/>
      <c r="M12" s="478"/>
      <c r="N12" s="478"/>
      <c r="O12" s="478"/>
      <c r="P12" s="478"/>
      <c r="Q12" s="478"/>
      <c r="R12" s="478"/>
      <c r="S12" s="478"/>
      <c r="T12" s="478"/>
      <c r="U12" s="478"/>
      <c r="V12" s="478"/>
      <c r="W12" s="478"/>
      <c r="X12" s="478"/>
      <c r="Y12" s="478"/>
      <c r="Z12" s="478"/>
      <c r="AA12" s="478"/>
      <c r="AB12" s="478"/>
      <c r="AC12" s="478"/>
      <c r="AD12" s="478"/>
      <c r="AE12" s="478"/>
      <c r="AF12" s="478"/>
      <c r="AG12" s="478"/>
      <c r="AH12" s="478"/>
      <c r="AI12" s="478"/>
      <c r="AJ12" s="478"/>
      <c r="AK12" s="478"/>
      <c r="AL12" s="478"/>
      <c r="AM12" s="478"/>
      <c r="AN12" s="478"/>
    </row>
    <row r="13" s="733" customFormat="1" ht="18" customHeight="1">
      <c r="A13" s="902"/>
      <c r="B13" s="773" t="s">
        <v>536</v>
      </c>
      <c r="C13" s="770" t="s">
        <v>522</v>
      </c>
      <c r="D13" s="742" t="s">
        <v>530</v>
      </c>
      <c r="E13" s="660" t="s">
        <v>534</v>
      </c>
      <c r="F13" s="772" t="s">
        <v>534</v>
      </c>
      <c r="G13" s="616" t="n">
        <v>32</v>
      </c>
      <c r="H13" s="616" t="n">
        <v>32</v>
      </c>
      <c r="I13" s="488"/>
      <c r="J13" s="478"/>
      <c r="K13" s="478"/>
      <c r="L13" s="478"/>
      <c r="M13" s="478"/>
      <c r="N13" s="478"/>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8"/>
      <c r="AN13" s="478"/>
    </row>
    <row r="14" s="733" customFormat="1" ht="18" customHeight="1" outlineLevel="1">
      <c r="A14" s="902"/>
      <c r="B14" s="771" t="s">
        <v>537</v>
      </c>
      <c r="C14" s="770" t="s">
        <v>522</v>
      </c>
      <c r="D14" s="742" t="s">
        <v>538</v>
      </c>
      <c r="E14" s="660" t="n">
        <v>46011</v>
      </c>
      <c r="F14" s="660" t="n">
        <v>46011</v>
      </c>
      <c r="G14" s="616" t="n">
        <v>8</v>
      </c>
      <c r="H14" s="616" t="n">
        <v>8</v>
      </c>
      <c r="I14" s="488"/>
      <c r="J14" s="478"/>
      <c r="K14" s="478"/>
      <c r="L14" s="478"/>
      <c r="M14" s="478"/>
      <c r="N14" s="478"/>
      <c r="O14" s="478"/>
      <c r="P14" s="478"/>
      <c r="Q14" s="478"/>
      <c r="R14" s="478"/>
      <c r="S14" s="478"/>
      <c r="T14" s="478"/>
      <c r="U14" s="478"/>
      <c r="V14" s="478"/>
      <c r="W14" s="478"/>
      <c r="X14" s="478"/>
      <c r="Y14" s="478"/>
      <c r="Z14" s="478"/>
      <c r="AA14" s="478"/>
      <c r="AB14" s="478"/>
      <c r="AC14" s="478"/>
      <c r="AD14" s="478"/>
      <c r="AE14" s="478"/>
      <c r="AF14" s="478"/>
      <c r="AG14" s="478"/>
      <c r="AH14" s="478"/>
      <c r="AI14" s="478"/>
      <c r="AJ14" s="478"/>
      <c r="AK14" s="478"/>
      <c r="AL14" s="478"/>
      <c r="AM14" s="478"/>
      <c r="AN14" s="478"/>
    </row>
    <row r="15" s="733" customFormat="1" ht="42.75" customHeight="1">
      <c r="A15" s="902"/>
      <c r="B15" s="769" t="s">
        <v>539</v>
      </c>
      <c r="C15" s="737" t="s">
        <v>522</v>
      </c>
      <c r="D15" s="768" t="s">
        <v>518</v>
      </c>
      <c r="E15" s="785" t="s">
        <v>540</v>
      </c>
      <c r="F15" s="767"/>
      <c r="G15" s="492" t="n">
        <v>5</v>
      </c>
      <c r="H15" s="488"/>
      <c r="I15" s="500" t="s">
        <v>541</v>
      </c>
      <c r="J15" s="478"/>
      <c r="K15" s="478"/>
      <c r="L15" s="478"/>
      <c r="M15" s="478"/>
      <c r="N15" s="478"/>
      <c r="O15" s="478"/>
      <c r="P15" s="478"/>
      <c r="Q15" s="478"/>
      <c r="R15" s="478"/>
      <c r="S15" s="478"/>
      <c r="T15" s="478"/>
      <c r="U15" s="478"/>
      <c r="V15" s="478"/>
      <c r="W15" s="478"/>
      <c r="X15" s="478"/>
      <c r="Y15" s="478"/>
      <c r="Z15" s="478"/>
      <c r="AA15" s="478"/>
      <c r="AB15" s="478"/>
      <c r="AC15" s="478"/>
      <c r="AD15" s="478"/>
      <c r="AE15" s="478"/>
      <c r="AF15" s="478"/>
      <c r="AG15" s="478"/>
      <c r="AH15" s="478"/>
      <c r="AI15" s="478"/>
      <c r="AJ15" s="478"/>
      <c r="AK15" s="478"/>
      <c r="AL15" s="478"/>
      <c r="AM15" s="478"/>
      <c r="AN15" s="478"/>
    </row>
    <row r="16" s="486" customFormat="1" ht="18.75" customHeight="1">
      <c r="A16" s="902"/>
      <c r="B16" s="900" t="s">
        <v>525</v>
      </c>
      <c r="C16" s="901"/>
      <c r="D16" s="901"/>
      <c r="E16" s="901"/>
      <c r="F16" s="901"/>
      <c r="G16" s="488" t="n">
        <f>SUM(G9:G15)</f>
        <v>173</v>
      </c>
      <c r="H16" s="488" t="n">
        <f>SUM(H9:H14)</f>
        <v>168</v>
      </c>
      <c r="I16" s="487"/>
    </row>
    <row r="17" s="733" customFormat="1" ht="32.25" customHeight="1">
      <c r="A17" s="735" t="s">
        <v>542</v>
      </c>
      <c r="B17" s="734"/>
      <c r="C17" s="498"/>
      <c r="D17" s="498"/>
      <c r="E17" s="784"/>
      <c r="F17" s="498"/>
      <c r="G17" s="656"/>
      <c r="H17" s="568"/>
      <c r="I17" s="568"/>
    </row>
    <row r="18" s="733" customFormat="1" ht="18" customHeight="1" outlineLevel="1">
      <c r="A18" s="916" t="s">
        <v>543</v>
      </c>
      <c r="B18" s="766" t="s">
        <v>544</v>
      </c>
      <c r="C18" s="765" t="s">
        <v>5</v>
      </c>
      <c r="D18" s="765" t="s">
        <v>5</v>
      </c>
      <c r="E18" s="786" t="s">
        <v>5</v>
      </c>
      <c r="F18" s="765" t="s">
        <v>5</v>
      </c>
      <c r="G18" s="765" t="s">
        <v>5</v>
      </c>
      <c r="H18" s="765" t="s">
        <v>5</v>
      </c>
      <c r="I18" s="568"/>
    </row>
    <row r="19" s="733" customFormat="1" ht="18" customHeight="1" outlineLevel="2">
      <c r="A19" s="917"/>
      <c r="B19" s="764" t="s">
        <v>545</v>
      </c>
      <c r="C19" s="742"/>
      <c r="D19" s="742" t="s">
        <v>530</v>
      </c>
      <c r="E19" s="660" t="n">
        <v>45982</v>
      </c>
      <c r="F19" s="660" t="n">
        <v>45982</v>
      </c>
      <c r="G19" s="616" t="n">
        <v>32</v>
      </c>
      <c r="H19" s="616" t="n">
        <v>32</v>
      </c>
      <c r="I19" s="488"/>
    </row>
    <row r="20" s="733" customFormat="1" ht="18" customHeight="1" outlineLevel="2">
      <c r="A20" s="917"/>
      <c r="B20" s="764" t="s">
        <v>546</v>
      </c>
      <c r="C20" s="742"/>
      <c r="D20" s="742" t="s">
        <v>530</v>
      </c>
      <c r="E20" s="660" t="n">
        <v>46038</v>
      </c>
      <c r="F20" s="660" t="n">
        <v>46038</v>
      </c>
      <c r="G20" s="616" t="n">
        <v>32</v>
      </c>
      <c r="H20" s="616" t="n">
        <v>32</v>
      </c>
      <c r="I20" s="507"/>
    </row>
    <row r="21" s="733" customFormat="1" ht="18" customHeight="1" outlineLevel="2">
      <c r="A21" s="917"/>
      <c r="B21" s="764" t="s">
        <v>547</v>
      </c>
      <c r="C21" s="742"/>
      <c r="D21" s="742" t="s">
        <v>530</v>
      </c>
      <c r="E21" s="660" t="n">
        <v>46038</v>
      </c>
      <c r="F21" s="660" t="n">
        <v>46038</v>
      </c>
      <c r="G21" s="616" t="n">
        <v>32</v>
      </c>
      <c r="H21" s="616" t="n">
        <v>32</v>
      </c>
      <c r="I21" s="507"/>
    </row>
    <row r="22" s="733" customFormat="1" ht="18" customHeight="1" outlineLevel="2">
      <c r="A22" s="917"/>
      <c r="B22" s="764" t="s">
        <v>548</v>
      </c>
      <c r="C22" s="742"/>
      <c r="D22" s="742" t="s">
        <v>549</v>
      </c>
      <c r="E22" s="660" t="n">
        <v>46038</v>
      </c>
      <c r="F22" s="660" t="n">
        <v>46038</v>
      </c>
      <c r="G22" s="616" t="n">
        <v>32</v>
      </c>
      <c r="H22" s="616" t="n">
        <v>32</v>
      </c>
      <c r="I22" s="507"/>
    </row>
    <row r="23" s="733" customFormat="1" ht="18" customHeight="1" outlineLevel="1">
      <c r="A23" s="917"/>
      <c r="B23" s="763" t="s">
        <v>550</v>
      </c>
      <c r="C23" s="743" t="s">
        <v>522</v>
      </c>
      <c r="D23" s="742" t="s">
        <v>530</v>
      </c>
      <c r="E23" s="660" t="n">
        <v>46038</v>
      </c>
      <c r="F23" s="660" t="n">
        <v>46038</v>
      </c>
      <c r="G23" s="616" t="n">
        <v>8</v>
      </c>
      <c r="H23" s="616" t="n">
        <v>8</v>
      </c>
      <c r="I23" s="507"/>
    </row>
    <row r="24" s="733" customFormat="1" ht="18" customHeight="1" outlineLevel="1">
      <c r="A24" s="917"/>
      <c r="B24" s="760" t="s">
        <v>551</v>
      </c>
      <c r="C24" s="759" t="s">
        <v>5</v>
      </c>
      <c r="D24" s="759" t="s">
        <v>5</v>
      </c>
      <c r="E24" s="787" t="s">
        <v>5</v>
      </c>
      <c r="F24" s="759" t="s">
        <v>5</v>
      </c>
      <c r="G24" s="759" t="s">
        <v>5</v>
      </c>
      <c r="H24" s="759" t="s">
        <v>5</v>
      </c>
      <c r="I24" s="568"/>
    </row>
    <row r="25" s="733" customFormat="1" ht="18" customHeight="1" outlineLevel="2">
      <c r="A25" s="917"/>
      <c r="B25" s="757" t="s">
        <v>552</v>
      </c>
      <c r="C25" s="762"/>
      <c r="D25" s="742" t="s">
        <v>553</v>
      </c>
      <c r="E25" s="660" t="n">
        <v>46094</v>
      </c>
      <c r="F25" s="660" t="n">
        <v>46094</v>
      </c>
      <c r="G25" s="616" t="n">
        <v>40</v>
      </c>
      <c r="H25" s="616" t="n">
        <v>40</v>
      </c>
      <c r="I25" s="507"/>
    </row>
    <row r="26" s="733" customFormat="1" ht="18" customHeight="1" outlineLevel="2">
      <c r="A26" s="917"/>
      <c r="B26" s="757" t="s">
        <v>554</v>
      </c>
      <c r="C26" s="742"/>
      <c r="D26" s="742" t="s">
        <v>549</v>
      </c>
      <c r="E26" s="660" t="n">
        <v>46094</v>
      </c>
      <c r="F26" s="660" t="n">
        <v>46094</v>
      </c>
      <c r="G26" s="616" t="n">
        <v>40</v>
      </c>
      <c r="H26" s="616" t="n">
        <v>40</v>
      </c>
      <c r="I26" s="507"/>
    </row>
    <row r="27" s="733" customFormat="1" ht="18" customHeight="1" outlineLevel="1">
      <c r="A27" s="917"/>
      <c r="B27" s="744" t="s">
        <v>555</v>
      </c>
      <c r="C27" s="743" t="s">
        <v>522</v>
      </c>
      <c r="D27" s="742" t="s">
        <v>530</v>
      </c>
      <c r="E27" s="660" t="n">
        <v>46094</v>
      </c>
      <c r="F27" s="660" t="n">
        <v>46094</v>
      </c>
      <c r="G27" s="616" t="n">
        <v>8</v>
      </c>
      <c r="H27" s="616" t="n">
        <v>8</v>
      </c>
      <c r="I27" s="507"/>
    </row>
    <row r="28" s="733" customFormat="1" ht="18" customHeight="1" outlineLevel="1">
      <c r="A28" s="917"/>
      <c r="B28" s="760" t="s">
        <v>556</v>
      </c>
      <c r="C28" s="759" t="s">
        <v>5</v>
      </c>
      <c r="D28" s="759" t="s">
        <v>5</v>
      </c>
      <c r="E28" s="787" t="s">
        <v>5</v>
      </c>
      <c r="F28" s="759" t="s">
        <v>5</v>
      </c>
      <c r="G28" s="759" t="s">
        <v>5</v>
      </c>
      <c r="H28" s="759" t="s">
        <v>5</v>
      </c>
      <c r="I28" s="568"/>
    </row>
    <row r="29" s="733" customFormat="1" ht="18" customHeight="1" outlineLevel="2">
      <c r="A29" s="917"/>
      <c r="B29" s="757" t="s">
        <v>557</v>
      </c>
      <c r="C29" s="761"/>
      <c r="D29" s="742" t="s">
        <v>532</v>
      </c>
      <c r="E29" s="660" t="n">
        <v>46111</v>
      </c>
      <c r="F29" s="660" t="n">
        <v>46111</v>
      </c>
      <c r="G29" s="616" t="n">
        <v>16</v>
      </c>
      <c r="H29" s="616" t="n">
        <v>16</v>
      </c>
      <c r="I29" s="507"/>
    </row>
    <row r="30" s="733" customFormat="1" ht="18" customHeight="1" outlineLevel="2">
      <c r="A30" s="917"/>
      <c r="B30" s="757" t="s">
        <v>558</v>
      </c>
      <c r="C30" s="742"/>
      <c r="D30" s="742" t="s">
        <v>532</v>
      </c>
      <c r="E30" s="660" t="n">
        <v>46111</v>
      </c>
      <c r="F30" s="660" t="n">
        <v>46111</v>
      </c>
      <c r="G30" s="616" t="n">
        <v>8</v>
      </c>
      <c r="H30" s="616" t="n">
        <v>8</v>
      </c>
      <c r="I30" s="507"/>
    </row>
    <row r="31" s="733" customFormat="1" ht="18" customHeight="1" outlineLevel="2">
      <c r="A31" s="917"/>
      <c r="B31" s="757" t="s">
        <v>559</v>
      </c>
      <c r="C31" s="742"/>
      <c r="D31" s="742" t="s">
        <v>532</v>
      </c>
      <c r="E31" s="660" t="n">
        <v>46111</v>
      </c>
      <c r="F31" s="660" t="n">
        <v>46111</v>
      </c>
      <c r="G31" s="616" t="n">
        <v>16</v>
      </c>
      <c r="H31" s="616" t="n">
        <v>16</v>
      </c>
      <c r="I31" s="507"/>
    </row>
    <row r="32" s="733" customFormat="1" ht="18" customHeight="1" outlineLevel="2">
      <c r="A32" s="917"/>
      <c r="B32" s="757" t="s">
        <v>556</v>
      </c>
      <c r="C32" s="743"/>
      <c r="D32" s="742" t="s">
        <v>532</v>
      </c>
      <c r="E32" s="660" t="n">
        <v>46101</v>
      </c>
      <c r="F32" s="660" t="n">
        <v>46111</v>
      </c>
      <c r="G32" s="616" t="n">
        <v>16</v>
      </c>
      <c r="H32" s="616" t="n">
        <v>16</v>
      </c>
      <c r="I32" s="507"/>
    </row>
    <row r="33" s="733" customFormat="1" ht="18" customHeight="1">
      <c r="A33" s="917"/>
      <c r="B33" s="744" t="s">
        <v>560</v>
      </c>
      <c r="C33" s="743" t="s">
        <v>522</v>
      </c>
      <c r="D33" s="742" t="s">
        <v>553</v>
      </c>
      <c r="E33" s="660" t="n">
        <v>46101</v>
      </c>
      <c r="F33" s="660" t="n">
        <v>46101</v>
      </c>
      <c r="G33" s="616" t="n">
        <v>16</v>
      </c>
      <c r="H33" s="616" t="n">
        <v>16</v>
      </c>
      <c r="I33" s="507"/>
    </row>
    <row r="34" s="739" customFormat="1" ht="18" customHeight="1" outlineLevel="1">
      <c r="A34" s="917"/>
      <c r="B34" s="760" t="s">
        <v>561</v>
      </c>
      <c r="C34" s="759" t="s">
        <v>5</v>
      </c>
      <c r="D34" s="759" t="s">
        <v>5</v>
      </c>
      <c r="E34" s="787" t="s">
        <v>5</v>
      </c>
      <c r="F34" s="759" t="s">
        <v>5</v>
      </c>
      <c r="G34" s="759" t="s">
        <v>5</v>
      </c>
      <c r="H34" s="759" t="s">
        <v>5</v>
      </c>
      <c r="I34" s="759"/>
    </row>
    <row r="35" s="739" customFormat="1" ht="33" customHeight="1" outlineLevel="2">
      <c r="A35" s="917"/>
      <c r="B35" s="757" t="s">
        <v>562</v>
      </c>
      <c r="C35" s="743"/>
      <c r="D35" s="742" t="s">
        <v>563</v>
      </c>
      <c r="E35" s="660" t="n">
        <v>46136</v>
      </c>
      <c r="F35" s="660" t="n">
        <v>46136</v>
      </c>
      <c r="G35" s="616" t="n">
        <v>40</v>
      </c>
      <c r="H35" s="616" t="n">
        <v>40</v>
      </c>
      <c r="I35" s="758" t="s">
        <v>564</v>
      </c>
    </row>
    <row r="36" s="739" customFormat="1" ht="18" customHeight="1" outlineLevel="2">
      <c r="A36" s="917"/>
      <c r="B36" s="757" t="s">
        <v>565</v>
      </c>
      <c r="C36" s="743"/>
      <c r="D36" s="742" t="s">
        <v>566</v>
      </c>
      <c r="E36" s="660" t="n">
        <v>46136</v>
      </c>
      <c r="F36" s="660" t="n">
        <v>46133</v>
      </c>
      <c r="G36" s="616" t="n">
        <v>32</v>
      </c>
      <c r="H36" s="616" t="n">
        <v>32</v>
      </c>
      <c r="I36" s="758" t="s">
        <v>567</v>
      </c>
    </row>
    <row r="37" s="739" customFormat="1" ht="18" customHeight="1" outlineLevel="1">
      <c r="A37" s="917"/>
      <c r="B37" s="744" t="s">
        <v>568</v>
      </c>
      <c r="C37" s="743" t="s">
        <v>522</v>
      </c>
      <c r="D37" s="742" t="s">
        <v>569</v>
      </c>
      <c r="E37" s="660" t="n">
        <v>46136</v>
      </c>
      <c r="F37" s="660" t="n">
        <v>46136</v>
      </c>
      <c r="G37" s="616" t="n">
        <v>0</v>
      </c>
      <c r="H37" s="616" t="n">
        <v>0</v>
      </c>
      <c r="I37" s="754"/>
    </row>
    <row r="38" s="733" customFormat="1" ht="18" customHeight="1" outlineLevel="1">
      <c r="A38" s="917"/>
      <c r="B38" s="753" t="s">
        <v>570</v>
      </c>
      <c r="C38" s="568" t="s">
        <v>5</v>
      </c>
      <c r="D38" s="568" t="s">
        <v>5</v>
      </c>
      <c r="E38" s="655" t="s">
        <v>5</v>
      </c>
      <c r="F38" s="568" t="s">
        <v>5</v>
      </c>
      <c r="G38" s="568" t="s">
        <v>5</v>
      </c>
      <c r="H38" s="568" t="s">
        <v>5</v>
      </c>
      <c r="I38" s="568"/>
    </row>
    <row r="39" s="739" customFormat="1" ht="30.75" customHeight="1" outlineLevel="2">
      <c r="A39" s="917"/>
      <c r="B39" s="757" t="s">
        <v>571</v>
      </c>
      <c r="C39" s="751"/>
      <c r="D39" s="742" t="s">
        <v>538</v>
      </c>
      <c r="E39" s="660" t="n">
        <v>46162</v>
      </c>
      <c r="F39" s="660" t="n">
        <v>46162</v>
      </c>
      <c r="G39" s="616" t="n">
        <v>16</v>
      </c>
      <c r="H39" s="616"/>
      <c r="I39" s="755" t="s">
        <v>572</v>
      </c>
    </row>
    <row r="40" s="739" customFormat="1" ht="22.5" customHeight="1" outlineLevel="2">
      <c r="A40" s="917"/>
      <c r="B40" s="756" t="s">
        <v>573</v>
      </c>
      <c r="C40" s="751"/>
      <c r="D40" s="742" t="s">
        <v>538</v>
      </c>
      <c r="E40" s="660" t="n">
        <v>46162</v>
      </c>
      <c r="F40" s="660" t="n">
        <v>46162</v>
      </c>
      <c r="G40" s="616" t="n">
        <v>16</v>
      </c>
      <c r="H40" s="616"/>
      <c r="I40" s="755" t="s">
        <v>574</v>
      </c>
    </row>
    <row r="41" s="739" customFormat="1" ht="31.5" customHeight="1" outlineLevel="1">
      <c r="A41" s="917"/>
      <c r="B41" s="744" t="s">
        <v>575</v>
      </c>
      <c r="C41" s="743" t="s">
        <v>522</v>
      </c>
      <c r="D41" s="742" t="s">
        <v>538</v>
      </c>
      <c r="E41" s="660" t="n">
        <v>46162</v>
      </c>
      <c r="F41" s="660" t="n">
        <v>46162</v>
      </c>
      <c r="G41" s="616" t="n">
        <v>0</v>
      </c>
      <c r="H41" s="616"/>
      <c r="I41" s="754"/>
    </row>
    <row r="42" s="733" customFormat="1" ht="18" customHeight="1" outlineLevel="1">
      <c r="A42" s="917"/>
      <c r="B42" s="753" t="s">
        <v>576</v>
      </c>
      <c r="C42" s="568" t="s">
        <v>5</v>
      </c>
      <c r="D42" s="568" t="s">
        <v>5</v>
      </c>
      <c r="E42" s="655" t="s">
        <v>5</v>
      </c>
      <c r="F42" s="568" t="s">
        <v>5</v>
      </c>
      <c r="G42" s="568" t="s">
        <v>5</v>
      </c>
      <c r="H42" s="568" t="s">
        <v>5</v>
      </c>
      <c r="I42" s="568"/>
    </row>
    <row r="43" s="739" customFormat="1" ht="18" customHeight="1" outlineLevel="2">
      <c r="A43" s="917"/>
      <c r="B43" s="751" t="s">
        <v>577</v>
      </c>
      <c r="C43" s="743"/>
      <c r="D43" s="742" t="s">
        <v>578</v>
      </c>
      <c r="E43" s="660" t="s">
        <v>579</v>
      </c>
      <c r="F43" s="741" t="n">
        <v>46189</v>
      </c>
      <c r="G43" s="616" t="n">
        <v>8</v>
      </c>
      <c r="H43" s="616" t="n">
        <v>8</v>
      </c>
      <c r="I43" s="740" t="s">
        <v>580</v>
      </c>
    </row>
    <row r="44" s="739" customFormat="1" ht="18" customHeight="1" outlineLevel="2">
      <c r="A44" s="917"/>
      <c r="B44" s="751" t="s">
        <v>581</v>
      </c>
      <c r="C44" s="751"/>
      <c r="D44" s="742" t="s">
        <v>578</v>
      </c>
      <c r="E44" s="660" t="s">
        <v>579</v>
      </c>
      <c r="F44" s="741" t="n">
        <v>46167</v>
      </c>
      <c r="G44" s="616" t="n">
        <v>8</v>
      </c>
      <c r="H44" s="616" t="n">
        <v>8</v>
      </c>
      <c r="I44" s="740" t="s">
        <v>580</v>
      </c>
    </row>
    <row r="45" s="745" customFormat="1" ht="18" customHeight="1" outlineLevel="2">
      <c r="A45" s="917"/>
      <c r="B45" s="752" t="s">
        <v>582</v>
      </c>
      <c r="C45" s="750"/>
      <c r="D45" s="749" t="s">
        <v>578</v>
      </c>
      <c r="E45" s="748" t="n">
        <v>46203</v>
      </c>
      <c r="F45" s="748" t="n">
        <v>46203</v>
      </c>
      <c r="G45" s="747" t="n">
        <v>8</v>
      </c>
      <c r="H45" s="616" t="n">
        <v>8</v>
      </c>
      <c r="I45" s="746" t="s">
        <v>583</v>
      </c>
    </row>
    <row r="46" s="739" customFormat="1" ht="18" customHeight="1" outlineLevel="2">
      <c r="A46" s="917"/>
      <c r="B46" s="751" t="s">
        <v>584</v>
      </c>
      <c r="C46" s="751"/>
      <c r="D46" s="742" t="s">
        <v>578</v>
      </c>
      <c r="E46" s="660" t="s">
        <v>579</v>
      </c>
      <c r="F46" s="741" t="n">
        <v>46163</v>
      </c>
      <c r="G46" s="616" t="n">
        <v>8</v>
      </c>
      <c r="H46" s="616" t="n">
        <v>8</v>
      </c>
      <c r="I46" s="740" t="s">
        <v>585</v>
      </c>
    </row>
    <row r="47" s="745" customFormat="1" ht="18" customHeight="1" outlineLevel="2">
      <c r="A47" s="917"/>
      <c r="B47" s="750" t="s">
        <v>586</v>
      </c>
      <c r="C47" s="750"/>
      <c r="D47" s="749" t="s">
        <v>578</v>
      </c>
      <c r="E47" s="748" t="n">
        <v>46203</v>
      </c>
      <c r="F47" s="748" t="n">
        <v>46203</v>
      </c>
      <c r="G47" s="747" t="n">
        <v>8</v>
      </c>
      <c r="H47" s="616" t="n">
        <v>8</v>
      </c>
      <c r="I47" s="746" t="s">
        <v>587</v>
      </c>
    </row>
    <row r="48" s="739" customFormat="1" ht="18" customHeight="1">
      <c r="A48" s="917"/>
      <c r="B48" s="744" t="s">
        <v>588</v>
      </c>
      <c r="C48" s="743" t="s">
        <v>522</v>
      </c>
      <c r="D48" s="742" t="s">
        <v>578</v>
      </c>
      <c r="E48" s="660" t="n">
        <v>46203</v>
      </c>
      <c r="F48" s="741" t="n">
        <v>46189</v>
      </c>
      <c r="G48" s="616" t="n">
        <v>0</v>
      </c>
      <c r="H48" s="670" t="n">
        <v>0</v>
      </c>
      <c r="I48" s="740" t="s">
        <v>589</v>
      </c>
    </row>
    <row r="49" s="733" customFormat="1" ht="22.5" customHeight="1">
      <c r="A49" s="917"/>
      <c r="B49" s="738" t="s">
        <v>590</v>
      </c>
      <c r="C49" s="737" t="s">
        <v>522</v>
      </c>
      <c r="D49" s="569" t="s">
        <v>518</v>
      </c>
      <c r="E49" s="785" t="s">
        <v>591</v>
      </c>
      <c r="F49" s="511"/>
      <c r="G49" s="492" t="n">
        <v>5</v>
      </c>
      <c r="H49" s="488"/>
      <c r="I49" s="736" t="s">
        <v>592</v>
      </c>
    </row>
    <row r="50" s="486" customFormat="1" ht="14.25" customHeight="1">
      <c r="A50" s="917"/>
      <c r="B50" s="900" t="s">
        <v>525</v>
      </c>
      <c r="C50" s="901"/>
      <c r="D50" s="901"/>
      <c r="E50" s="901"/>
      <c r="F50" s="901"/>
      <c r="G50" s="488" t="n">
        <f>SUM(G19:G49)</f>
        <v>445</v>
      </c>
      <c r="H50" s="488" t="n">
        <f>SUM(H19:H49)</f>
        <v>408</v>
      </c>
      <c r="I50" s="487"/>
    </row>
    <row r="51" s="733" customFormat="1" ht="18" customHeight="1">
      <c r="A51" s="735" t="s">
        <v>593</v>
      </c>
      <c r="B51" s="734"/>
      <c r="C51" s="498"/>
      <c r="D51" s="498"/>
      <c r="E51" s="784"/>
      <c r="F51" s="498"/>
      <c r="G51" s="656"/>
      <c r="H51" s="568"/>
      <c r="I51" s="568"/>
    </row>
    <row r="52" ht="18" customHeight="1" outlineLevel="1">
      <c r="A52" s="898" t="s">
        <v>594</v>
      </c>
      <c r="B52" s="732" t="s">
        <v>595</v>
      </c>
      <c r="C52" s="724" t="s">
        <v>5</v>
      </c>
      <c r="D52" s="724" t="s">
        <v>5</v>
      </c>
      <c r="E52" s="788" t="s">
        <v>5</v>
      </c>
      <c r="F52" s="724" t="s">
        <v>5</v>
      </c>
      <c r="G52" s="724"/>
      <c r="H52" s="724" t="s">
        <v>5</v>
      </c>
      <c r="I52" s="724" t="s">
        <v>5</v>
      </c>
    </row>
    <row r="53" ht="44.25" customHeight="1" outlineLevel="2">
      <c r="A53" s="898"/>
      <c r="B53" s="631" t="s">
        <v>596</v>
      </c>
      <c r="C53" s="729"/>
      <c r="D53" s="728" t="s">
        <v>229</v>
      </c>
      <c r="E53" s="665" t="n">
        <v>46150</v>
      </c>
      <c r="F53" s="665" t="n">
        <v>46150</v>
      </c>
      <c r="G53" s="609" t="n">
        <v>1</v>
      </c>
      <c r="H53" s="727" t="n">
        <v>1</v>
      </c>
      <c r="I53" s="731" t="s">
        <v>597</v>
      </c>
    </row>
    <row r="54" ht="27.75" customHeight="1" outlineLevel="2">
      <c r="A54" s="898"/>
      <c r="B54" s="631" t="s">
        <v>598</v>
      </c>
      <c r="C54" s="630"/>
      <c r="D54" s="666" t="s">
        <v>249</v>
      </c>
      <c r="E54" s="665" t="n">
        <v>46155</v>
      </c>
      <c r="F54" s="665" t="n">
        <v>46155</v>
      </c>
      <c r="G54" s="609" t="n">
        <v>1</v>
      </c>
      <c r="H54" s="611" t="n">
        <v>1</v>
      </c>
      <c r="I54" s="730" t="s">
        <v>599</v>
      </c>
    </row>
    <row r="55" ht="18" customHeight="1" outlineLevel="2">
      <c r="A55" s="898"/>
      <c r="B55" s="631" t="s">
        <v>600</v>
      </c>
      <c r="C55" s="729"/>
      <c r="D55" s="728" t="s">
        <v>229</v>
      </c>
      <c r="E55" s="665" t="n">
        <v>46150</v>
      </c>
      <c r="F55" s="665" t="n">
        <v>46150</v>
      </c>
      <c r="G55" s="609" t="n">
        <v>1</v>
      </c>
      <c r="H55" s="727" t="n">
        <v>1</v>
      </c>
      <c r="I55" s="726" t="s">
        <v>601</v>
      </c>
    </row>
    <row r="56" ht="18" customHeight="1" outlineLevel="2">
      <c r="A56" s="898"/>
      <c r="B56" s="667" t="s">
        <v>602</v>
      </c>
      <c r="C56" s="665"/>
      <c r="D56" s="666" t="s">
        <v>603</v>
      </c>
      <c r="E56" s="665" t="n">
        <v>46155</v>
      </c>
      <c r="F56" s="665" t="n">
        <v>46155</v>
      </c>
      <c r="G56" s="611" t="n">
        <v>1</v>
      </c>
      <c r="H56" s="611" t="n">
        <v>1</v>
      </c>
      <c r="I56" s="607"/>
    </row>
    <row r="57" ht="18" customHeight="1">
      <c r="A57" s="898"/>
      <c r="B57" s="613" t="s">
        <v>604</v>
      </c>
      <c r="C57" s="496" t="s">
        <v>522</v>
      </c>
      <c r="D57" s="611" t="s">
        <v>605</v>
      </c>
      <c r="E57" s="665" t="n">
        <v>46155</v>
      </c>
      <c r="F57" s="665" t="n">
        <v>46155</v>
      </c>
      <c r="G57" s="609" t="n">
        <v>0</v>
      </c>
      <c r="H57" s="608"/>
      <c r="I57" s="607"/>
    </row>
    <row r="58" ht="18" customHeight="1" outlineLevel="1">
      <c r="A58" s="898"/>
      <c r="B58" s="725" t="s">
        <v>606</v>
      </c>
      <c r="C58" s="724" t="s">
        <v>5</v>
      </c>
      <c r="D58" s="724" t="s">
        <v>5</v>
      </c>
      <c r="E58" s="788" t="s">
        <v>5</v>
      </c>
      <c r="F58" s="724" t="s">
        <v>5</v>
      </c>
      <c r="G58" s="724" t="s">
        <v>5</v>
      </c>
      <c r="H58" s="724" t="s">
        <v>5</v>
      </c>
      <c r="I58" s="724" t="s">
        <v>5</v>
      </c>
    </row>
    <row r="59" ht="18" customHeight="1" outlineLevel="2">
      <c r="A59" s="898"/>
      <c r="B59" s="708" t="s">
        <v>607</v>
      </c>
      <c r="C59" s="611"/>
      <c r="D59" s="611" t="s">
        <v>605</v>
      </c>
      <c r="E59" s="665" t="n">
        <v>46156</v>
      </c>
      <c r="F59" s="665" t="n">
        <v>46155</v>
      </c>
      <c r="G59" s="609" t="n">
        <v>2</v>
      </c>
      <c r="H59" s="609" t="n">
        <v>2</v>
      </c>
      <c r="I59" s="607"/>
    </row>
    <row r="60" ht="18" customHeight="1" outlineLevel="2">
      <c r="A60" s="898"/>
      <c r="B60" s="708" t="s">
        <v>608</v>
      </c>
      <c r="C60" s="611"/>
      <c r="D60" s="611" t="s">
        <v>605</v>
      </c>
      <c r="E60" s="665" t="n">
        <v>46156</v>
      </c>
      <c r="F60" s="665" t="n">
        <v>46155</v>
      </c>
      <c r="G60" s="609" t="n">
        <v>2</v>
      </c>
      <c r="H60" s="609" t="n">
        <v>2</v>
      </c>
      <c r="I60" s="607" t="s">
        <v>609</v>
      </c>
    </row>
    <row r="61" ht="27.75" customHeight="1" outlineLevel="2">
      <c r="A61" s="898"/>
      <c r="B61" s="708" t="s">
        <v>610</v>
      </c>
      <c r="C61" s="611"/>
      <c r="D61" s="611" t="s">
        <v>605</v>
      </c>
      <c r="E61" s="665" t="n">
        <v>46156</v>
      </c>
      <c r="F61" s="665" t="n">
        <v>46155</v>
      </c>
      <c r="G61" s="609" t="n">
        <v>2</v>
      </c>
      <c r="H61" s="609" t="n">
        <v>2</v>
      </c>
      <c r="I61" s="607" t="s">
        <v>611</v>
      </c>
    </row>
    <row r="62" ht="18" customHeight="1" outlineLevel="2">
      <c r="A62" s="898"/>
      <c r="B62" s="708" t="s">
        <v>612</v>
      </c>
      <c r="C62" s="611"/>
      <c r="D62" s="611" t="s">
        <v>613</v>
      </c>
      <c r="E62" s="665" t="n">
        <v>46156</v>
      </c>
      <c r="F62" s="665" t="n">
        <v>46155</v>
      </c>
      <c r="G62" s="609" t="n">
        <v>2</v>
      </c>
      <c r="H62" s="609" t="n">
        <v>2</v>
      </c>
      <c r="I62" s="607" t="s">
        <v>614</v>
      </c>
    </row>
    <row r="63" ht="18" customHeight="1" outlineLevel="2">
      <c r="A63" s="898"/>
      <c r="B63" s="708" t="s">
        <v>615</v>
      </c>
      <c r="C63" s="611"/>
      <c r="D63" s="611" t="s">
        <v>613</v>
      </c>
      <c r="E63" s="665" t="n">
        <v>46156</v>
      </c>
      <c r="F63" s="665" t="n">
        <v>46155</v>
      </c>
      <c r="G63" s="609" t="n">
        <v>2</v>
      </c>
      <c r="H63" s="609" t="n">
        <v>2</v>
      </c>
      <c r="I63" s="607" t="s">
        <v>616</v>
      </c>
    </row>
    <row r="64" ht="18" customHeight="1" outlineLevel="2">
      <c r="A64" s="898"/>
      <c r="B64" s="708" t="s">
        <v>617</v>
      </c>
      <c r="C64" s="611"/>
      <c r="D64" s="666" t="s">
        <v>249</v>
      </c>
      <c r="E64" s="665" t="n">
        <v>46156</v>
      </c>
      <c r="F64" s="665" t="n">
        <v>46155</v>
      </c>
      <c r="G64" s="609" t="n">
        <v>2</v>
      </c>
      <c r="H64" s="609" t="n">
        <v>2</v>
      </c>
      <c r="I64" s="607" t="s">
        <v>618</v>
      </c>
    </row>
    <row r="65" ht="18" customHeight="1" outlineLevel="2">
      <c r="A65" s="898"/>
      <c r="B65" s="631" t="s">
        <v>619</v>
      </c>
      <c r="C65" s="611"/>
      <c r="D65" s="611" t="s">
        <v>613</v>
      </c>
      <c r="E65" s="665" t="n">
        <v>46156</v>
      </c>
      <c r="F65" s="665" t="n">
        <v>46156</v>
      </c>
      <c r="G65" s="609" t="n">
        <v>2</v>
      </c>
      <c r="H65" s="609" t="n">
        <v>2</v>
      </c>
      <c r="I65" s="607" t="s">
        <v>620</v>
      </c>
    </row>
    <row r="66" ht="45.75" customHeight="1" outlineLevel="2">
      <c r="A66" s="898"/>
      <c r="B66" s="631" t="s">
        <v>621</v>
      </c>
      <c r="C66" s="611"/>
      <c r="D66" s="611" t="s">
        <v>613</v>
      </c>
      <c r="E66" s="665" t="n">
        <v>46156</v>
      </c>
      <c r="F66" s="665" t="n">
        <v>46160</v>
      </c>
      <c r="G66" s="609" t="n">
        <v>8</v>
      </c>
      <c r="H66" s="707" t="n">
        <v>8</v>
      </c>
      <c r="I66" s="723" t="s">
        <v>622</v>
      </c>
    </row>
    <row r="67" ht="18" customHeight="1" outlineLevel="2">
      <c r="A67" s="898"/>
      <c r="B67" s="631" t="s">
        <v>623</v>
      </c>
      <c r="C67" s="630"/>
      <c r="D67" s="611" t="s">
        <v>605</v>
      </c>
      <c r="E67" s="665" t="n">
        <v>46156</v>
      </c>
      <c r="F67" s="665" t="n">
        <v>46156</v>
      </c>
      <c r="G67" s="609" t="n">
        <v>8</v>
      </c>
      <c r="H67" s="707" t="n">
        <v>8</v>
      </c>
      <c r="I67" s="706"/>
    </row>
    <row r="68" ht="28.5" customHeight="1" outlineLevel="2">
      <c r="A68" s="898"/>
      <c r="B68" s="708" t="s">
        <v>624</v>
      </c>
      <c r="C68" s="630"/>
      <c r="D68" s="611" t="s">
        <v>605</v>
      </c>
      <c r="E68" s="665" t="n">
        <v>46161</v>
      </c>
      <c r="F68" s="665" t="n">
        <v>46161</v>
      </c>
      <c r="G68" s="609" t="n">
        <v>4</v>
      </c>
      <c r="H68" s="707" t="n">
        <v>4</v>
      </c>
      <c r="I68" s="607" t="s">
        <v>625</v>
      </c>
    </row>
    <row r="69" ht="18" customHeight="1">
      <c r="A69" s="898"/>
      <c r="B69" s="722" t="s">
        <v>626</v>
      </c>
      <c r="C69" s="496" t="s">
        <v>522</v>
      </c>
      <c r="D69" s="611" t="s">
        <v>605</v>
      </c>
      <c r="E69" s="665" t="n">
        <v>46161</v>
      </c>
      <c r="F69" s="665" t="n">
        <v>46161</v>
      </c>
      <c r="G69" s="609" t="n">
        <v>0</v>
      </c>
      <c r="H69" s="608"/>
      <c r="I69" s="706"/>
    </row>
    <row r="70" ht="18" customHeight="1" outlineLevel="1">
      <c r="A70" s="898"/>
      <c r="B70" s="517" t="s">
        <v>627</v>
      </c>
      <c r="C70" s="498" t="s">
        <v>5</v>
      </c>
      <c r="D70" s="498" t="s">
        <v>5</v>
      </c>
      <c r="E70" s="784" t="s">
        <v>5</v>
      </c>
      <c r="F70" s="498" t="s">
        <v>5</v>
      </c>
      <c r="G70" s="498" t="s">
        <v>5</v>
      </c>
      <c r="H70" s="498" t="s">
        <v>5</v>
      </c>
      <c r="I70" s="498" t="s">
        <v>5</v>
      </c>
    </row>
    <row r="71" s="581" customFormat="1" ht="18" customHeight="1" outlineLevel="2">
      <c r="A71" s="898"/>
      <c r="B71" s="719" t="s">
        <v>628</v>
      </c>
      <c r="C71" s="716"/>
      <c r="D71" s="721" t="s">
        <v>314</v>
      </c>
      <c r="E71" s="718" t="n">
        <v>46172</v>
      </c>
      <c r="F71" s="718" t="n">
        <v>46170</v>
      </c>
      <c r="G71" s="717" t="n">
        <v>16</v>
      </c>
      <c r="H71" s="717" t="n">
        <v>16</v>
      </c>
      <c r="I71" s="716" t="s">
        <v>629</v>
      </c>
      <c r="J71" s="582"/>
      <c r="K71" s="582"/>
      <c r="L71" s="582"/>
      <c r="M71" s="582"/>
      <c r="N71" s="582"/>
      <c r="O71" s="582"/>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row>
    <row r="72" s="581" customFormat="1" ht="18" customHeight="1" outlineLevel="2">
      <c r="A72" s="898"/>
      <c r="B72" s="719" t="s">
        <v>630</v>
      </c>
      <c r="C72" s="716"/>
      <c r="D72" s="717" t="s">
        <v>314</v>
      </c>
      <c r="E72" s="718" t="n">
        <v>46172</v>
      </c>
      <c r="F72" s="718" t="n">
        <v>46170</v>
      </c>
      <c r="G72" s="717" t="n">
        <v>16</v>
      </c>
      <c r="H72" s="717" t="n">
        <v>16</v>
      </c>
      <c r="I72" s="716" t="s">
        <v>629</v>
      </c>
      <c r="J72" s="582"/>
      <c r="K72" s="582"/>
      <c r="L72" s="582"/>
      <c r="M72" s="582"/>
      <c r="N72" s="582"/>
      <c r="O72" s="582"/>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row>
    <row r="73" s="581" customFormat="1" ht="18" customHeight="1" outlineLevel="2">
      <c r="A73" s="898"/>
      <c r="B73" s="720" t="s">
        <v>631</v>
      </c>
      <c r="C73" s="716"/>
      <c r="D73" s="717" t="s">
        <v>314</v>
      </c>
      <c r="E73" s="718" t="n">
        <v>46172</v>
      </c>
      <c r="F73" s="718" t="n">
        <v>46170</v>
      </c>
      <c r="G73" s="717" t="n">
        <v>16</v>
      </c>
      <c r="H73" s="717" t="n">
        <v>16</v>
      </c>
      <c r="I73" s="716" t="s">
        <v>629</v>
      </c>
      <c r="J73" s="582"/>
      <c r="K73" s="582"/>
      <c r="L73" s="582"/>
      <c r="M73" s="582"/>
      <c r="N73" s="582"/>
      <c r="O73" s="582"/>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row>
    <row r="74" s="581" customFormat="1" ht="18" customHeight="1" outlineLevel="2">
      <c r="A74" s="898"/>
      <c r="B74" s="719" t="s">
        <v>632</v>
      </c>
      <c r="C74" s="716"/>
      <c r="D74" s="717" t="s">
        <v>314</v>
      </c>
      <c r="E74" s="718" t="n">
        <v>46172</v>
      </c>
      <c r="F74" s="718" t="n">
        <v>46170</v>
      </c>
      <c r="G74" s="717" t="n">
        <v>16</v>
      </c>
      <c r="H74" s="717" t="n">
        <v>16</v>
      </c>
      <c r="I74" s="716" t="s">
        <v>629</v>
      </c>
      <c r="J74" s="582"/>
      <c r="K74" s="582"/>
      <c r="L74" s="582"/>
      <c r="M74" s="582"/>
      <c r="N74" s="582"/>
      <c r="O74" s="582"/>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row>
    <row r="75" ht="42.75" customHeight="1" outlineLevel="2">
      <c r="A75" s="898"/>
      <c r="B75" s="715" t="s">
        <v>633</v>
      </c>
      <c r="C75" s="663"/>
      <c r="D75" s="594" t="s">
        <v>314</v>
      </c>
      <c r="E75" s="595" t="n">
        <v>46188</v>
      </c>
      <c r="F75" s="595" t="n">
        <v>46188</v>
      </c>
      <c r="G75" s="594" t="n">
        <v>32</v>
      </c>
      <c r="H75" s="594" t="n">
        <v>32</v>
      </c>
      <c r="I75" s="1147" t="s">
        <v>634</v>
      </c>
    </row>
    <row r="76" ht="18" customHeight="1">
      <c r="A76" s="898"/>
      <c r="B76" s="674" t="s">
        <v>635</v>
      </c>
      <c r="C76" s="673" t="s">
        <v>522</v>
      </c>
      <c r="D76" s="596" t="s">
        <v>229</v>
      </c>
      <c r="E76" s="595" t="n">
        <v>46188</v>
      </c>
      <c r="F76" s="595" t="n">
        <v>46188</v>
      </c>
      <c r="G76" s="594" t="n">
        <v>0</v>
      </c>
      <c r="H76" s="714"/>
      <c r="I76" s="663" t="s">
        <v>636</v>
      </c>
    </row>
    <row r="77" ht="18" customHeight="1" outlineLevel="1">
      <c r="A77" s="898"/>
      <c r="B77" s="517" t="s">
        <v>637</v>
      </c>
      <c r="C77" s="498" t="s">
        <v>5</v>
      </c>
      <c r="D77" s="498" t="s">
        <v>5</v>
      </c>
      <c r="E77" s="784" t="s">
        <v>5</v>
      </c>
      <c r="F77" s="498" t="s">
        <v>5</v>
      </c>
      <c r="G77" s="498" t="s">
        <v>5</v>
      </c>
      <c r="H77" s="498" t="s">
        <v>5</v>
      </c>
      <c r="I77" s="498" t="s">
        <v>5</v>
      </c>
    </row>
    <row r="78" ht="143.25" customHeight="1" outlineLevel="2">
      <c r="A78" s="898"/>
      <c r="B78" s="713" t="s">
        <v>638</v>
      </c>
      <c r="C78" s="671"/>
      <c r="D78" s="661" t="s">
        <v>229</v>
      </c>
      <c r="E78" s="660" t="n">
        <v>46156</v>
      </c>
      <c r="F78" s="660" t="n">
        <v>46156</v>
      </c>
      <c r="G78" s="616" t="n">
        <v>3</v>
      </c>
      <c r="H78" s="670"/>
      <c r="I78" s="487" t="s">
        <v>639</v>
      </c>
    </row>
    <row r="79" ht="18" customHeight="1" outlineLevel="2">
      <c r="A79" s="898"/>
      <c r="B79" s="631" t="s">
        <v>640</v>
      </c>
      <c r="C79" s="630"/>
      <c r="D79" s="666" t="s">
        <v>249</v>
      </c>
      <c r="E79" s="665" t="n">
        <v>46156</v>
      </c>
      <c r="F79" s="665" t="n">
        <v>46160</v>
      </c>
      <c r="G79" s="609" t="n">
        <v>4</v>
      </c>
      <c r="H79" s="706"/>
      <c r="I79" s="607"/>
    </row>
    <row r="80" ht="28.5" customHeight="1">
      <c r="A80" s="898"/>
      <c r="B80" s="613" t="s">
        <v>641</v>
      </c>
      <c r="C80" s="496" t="s">
        <v>522</v>
      </c>
      <c r="D80" s="666" t="s">
        <v>642</v>
      </c>
      <c r="E80" s="665" t="n">
        <v>46156</v>
      </c>
      <c r="F80" s="665" t="n">
        <v>46160</v>
      </c>
      <c r="G80" s="609" t="n">
        <v>0</v>
      </c>
      <c r="H80" s="706"/>
      <c r="I80" s="607" t="s">
        <v>643</v>
      </c>
    </row>
    <row r="81" ht="18" customHeight="1" outlineLevel="1">
      <c r="A81" s="898"/>
      <c r="B81" s="509" t="s">
        <v>644</v>
      </c>
      <c r="C81" s="498"/>
      <c r="D81" s="498"/>
      <c r="E81" s="784"/>
      <c r="F81" s="498"/>
      <c r="G81" s="498"/>
      <c r="H81" s="498"/>
      <c r="I81" s="498" t="s">
        <v>5</v>
      </c>
    </row>
    <row r="82" ht="18" customHeight="1" outlineLevel="2">
      <c r="A82" s="898"/>
      <c r="B82" s="672" t="s">
        <v>645</v>
      </c>
      <c r="C82" s="712"/>
      <c r="D82" s="661" t="s">
        <v>229</v>
      </c>
      <c r="E82" s="660" t="n">
        <v>46162</v>
      </c>
      <c r="F82" s="660" t="n">
        <v>46161</v>
      </c>
      <c r="G82" s="616" t="n">
        <v>2</v>
      </c>
      <c r="H82" s="711" t="n">
        <v>2</v>
      </c>
      <c r="I82" s="487" t="s">
        <v>646</v>
      </c>
    </row>
    <row r="83" ht="18" customHeight="1" outlineLevel="2">
      <c r="A83" s="898"/>
      <c r="B83" s="710" t="s">
        <v>647</v>
      </c>
      <c r="C83" s="630"/>
      <c r="D83" s="666" t="s">
        <v>229</v>
      </c>
      <c r="E83" s="665" t="n">
        <v>46167</v>
      </c>
      <c r="F83" s="665" t="n">
        <v>46167</v>
      </c>
      <c r="G83" s="609" t="n">
        <v>2</v>
      </c>
      <c r="H83" s="707" t="n">
        <v>2</v>
      </c>
      <c r="I83" s="607" t="s">
        <v>648</v>
      </c>
    </row>
    <row r="84" ht="28.5" customHeight="1" outlineLevel="2">
      <c r="A84" s="898"/>
      <c r="B84" s="709" t="s">
        <v>649</v>
      </c>
      <c r="C84" s="630"/>
      <c r="D84" s="611" t="s">
        <v>605</v>
      </c>
      <c r="E84" s="665" t="n">
        <v>46167</v>
      </c>
      <c r="F84" s="665" t="n">
        <v>46164</v>
      </c>
      <c r="G84" s="609" t="n">
        <v>8</v>
      </c>
      <c r="H84" s="707" t="n">
        <v>8</v>
      </c>
      <c r="I84" s="607" t="s">
        <v>650</v>
      </c>
    </row>
    <row r="85" ht="18" customHeight="1" outlineLevel="2">
      <c r="A85" s="898"/>
      <c r="B85" s="631" t="s">
        <v>651</v>
      </c>
      <c r="C85" s="630"/>
      <c r="D85" s="611" t="s">
        <v>605</v>
      </c>
      <c r="E85" s="665" t="n">
        <v>46167</v>
      </c>
      <c r="F85" s="665" t="n">
        <v>46167</v>
      </c>
      <c r="G85" s="609" t="n">
        <v>2</v>
      </c>
      <c r="H85" s="707" t="n">
        <v>2</v>
      </c>
      <c r="I85" s="607"/>
    </row>
    <row r="86" ht="42.75" customHeight="1" outlineLevel="2">
      <c r="A86" s="898"/>
      <c r="B86" s="708" t="s">
        <v>652</v>
      </c>
      <c r="C86" s="630"/>
      <c r="D86" s="666" t="s">
        <v>370</v>
      </c>
      <c r="E86" s="665" t="n">
        <v>46167</v>
      </c>
      <c r="F86" s="665" t="n">
        <v>46167</v>
      </c>
      <c r="G86" s="609" t="n">
        <v>4</v>
      </c>
      <c r="H86" s="707" t="n">
        <v>4</v>
      </c>
      <c r="I86" s="607" t="s">
        <v>653</v>
      </c>
    </row>
    <row r="87" ht="18" customHeight="1">
      <c r="A87" s="898"/>
      <c r="B87" s="613" t="s">
        <v>654</v>
      </c>
      <c r="C87" s="496" t="s">
        <v>522</v>
      </c>
      <c r="D87" s="666" t="s">
        <v>655</v>
      </c>
      <c r="E87" s="665" t="n">
        <v>46167</v>
      </c>
      <c r="F87" s="665" t="n">
        <v>46167</v>
      </c>
      <c r="G87" s="609" t="n">
        <v>0</v>
      </c>
      <c r="H87" s="707"/>
      <c r="I87" s="706"/>
    </row>
    <row r="88" ht="18" customHeight="1" outlineLevel="1">
      <c r="A88" s="898"/>
      <c r="B88" s="509" t="s">
        <v>656</v>
      </c>
      <c r="C88" s="568" t="s">
        <v>5</v>
      </c>
      <c r="D88" s="568" t="s">
        <v>5</v>
      </c>
      <c r="E88" s="655" t="s">
        <v>5</v>
      </c>
      <c r="F88" s="568" t="s">
        <v>5</v>
      </c>
      <c r="G88" s="568" t="s">
        <v>5</v>
      </c>
      <c r="H88" s="568" t="s">
        <v>5</v>
      </c>
      <c r="I88" s="498" t="s">
        <v>5</v>
      </c>
    </row>
    <row r="89" ht="57" customHeight="1" outlineLevel="2">
      <c r="A89" s="898"/>
      <c r="B89" s="598" t="s">
        <v>657</v>
      </c>
      <c r="C89" s="663"/>
      <c r="D89" s="596" t="s">
        <v>370</v>
      </c>
      <c r="E89" s="595" t="n">
        <v>46157</v>
      </c>
      <c r="F89" s="595" t="n">
        <v>46158</v>
      </c>
      <c r="G89" s="594" t="n">
        <v>8</v>
      </c>
      <c r="H89" s="594" t="n">
        <v>8</v>
      </c>
      <c r="I89" s="1148" t="s">
        <v>658</v>
      </c>
    </row>
    <row r="90" ht="57" customHeight="1" outlineLevel="2">
      <c r="A90" s="898"/>
      <c r="B90" s="705" t="s">
        <v>659</v>
      </c>
      <c r="C90" s="663"/>
      <c r="D90" s="596" t="s">
        <v>370</v>
      </c>
      <c r="E90" s="595" t="n">
        <v>46163</v>
      </c>
      <c r="F90" s="595" t="n">
        <v>46158</v>
      </c>
      <c r="G90" s="594" t="n">
        <v>8</v>
      </c>
      <c r="H90" s="594" t="n">
        <v>8</v>
      </c>
      <c r="I90" s="1149" t="s">
        <v>660</v>
      </c>
    </row>
    <row r="91" ht="28.5" customHeight="1" outlineLevel="2">
      <c r="A91" s="898"/>
      <c r="B91" s="704" t="s">
        <v>661</v>
      </c>
      <c r="C91" s="700"/>
      <c r="D91" s="703" t="s">
        <v>370</v>
      </c>
      <c r="E91" s="702" t="n">
        <v>46167</v>
      </c>
      <c r="F91" s="595" t="n">
        <v>46158</v>
      </c>
      <c r="G91" s="701" t="n">
        <v>8</v>
      </c>
      <c r="H91" s="701" t="n">
        <v>8</v>
      </c>
      <c r="I91" s="700" t="s">
        <v>662</v>
      </c>
    </row>
    <row r="92" ht="54" customHeight="1" outlineLevel="2">
      <c r="A92" s="898"/>
      <c r="B92" s="598" t="s">
        <v>663</v>
      </c>
      <c r="C92" s="663"/>
      <c r="D92" s="596" t="s">
        <v>664</v>
      </c>
      <c r="E92" s="595" t="n">
        <v>46185</v>
      </c>
      <c r="F92" s="595" t="n">
        <v>46184</v>
      </c>
      <c r="G92" s="594" t="n">
        <v>8</v>
      </c>
      <c r="H92" s="594" t="n">
        <v>8</v>
      </c>
      <c r="I92" s="1150" t="s">
        <v>665</v>
      </c>
    </row>
    <row r="93" ht="27" customHeight="1" outlineLevel="2">
      <c r="A93" s="898"/>
      <c r="B93" s="598" t="s">
        <v>666</v>
      </c>
      <c r="C93" s="663"/>
      <c r="D93" s="594" t="s">
        <v>667</v>
      </c>
      <c r="E93" s="595" t="n">
        <v>46188</v>
      </c>
      <c r="F93" s="595" t="n">
        <v>46184</v>
      </c>
      <c r="G93" s="594" t="n">
        <v>8</v>
      </c>
      <c r="H93" s="594" t="n">
        <v>8</v>
      </c>
      <c r="I93" s="699" t="s">
        <v>668</v>
      </c>
    </row>
    <row r="94" ht="18" customHeight="1" outlineLevel="2">
      <c r="A94" s="898"/>
      <c r="B94" s="598" t="s">
        <v>669</v>
      </c>
      <c r="C94" s="663"/>
      <c r="D94" s="594" t="s">
        <v>667</v>
      </c>
      <c r="E94" s="595" t="n">
        <v>46188</v>
      </c>
      <c r="F94" s="595" t="n">
        <v>46183</v>
      </c>
      <c r="G94" s="594" t="n">
        <v>8</v>
      </c>
      <c r="H94" s="594" t="n">
        <v>8</v>
      </c>
      <c r="I94" s="699" t="s">
        <v>670</v>
      </c>
    </row>
    <row r="95" ht="27" customHeight="1" outlineLevel="2">
      <c r="A95" s="898"/>
      <c r="B95" s="698" t="s">
        <v>671</v>
      </c>
      <c r="C95" s="697"/>
      <c r="D95" s="696" t="s">
        <v>370</v>
      </c>
      <c r="E95" s="695" t="n">
        <v>46189</v>
      </c>
      <c r="F95" s="695" t="n">
        <v>46189</v>
      </c>
      <c r="G95" s="694" t="n">
        <v>8</v>
      </c>
      <c r="H95" s="594" t="n">
        <v>8</v>
      </c>
      <c r="I95" s="693" t="s">
        <v>672</v>
      </c>
    </row>
    <row r="96" ht="18" customHeight="1">
      <c r="A96" s="898"/>
      <c r="B96" s="674" t="s">
        <v>673</v>
      </c>
      <c r="C96" s="673" t="s">
        <v>522</v>
      </c>
      <c r="D96" s="594" t="s">
        <v>667</v>
      </c>
      <c r="E96" s="595" t="n">
        <v>46189</v>
      </c>
      <c r="F96" s="595" t="n">
        <v>46190</v>
      </c>
      <c r="G96" s="594" t="n">
        <v>0</v>
      </c>
      <c r="H96" s="594" t="n">
        <v>0</v>
      </c>
      <c r="I96" s="663" t="s">
        <v>674</v>
      </c>
    </row>
    <row r="97" ht="18" customHeight="1" outlineLevel="1">
      <c r="A97" s="898"/>
      <c r="B97" s="517" t="s">
        <v>675</v>
      </c>
      <c r="C97" s="568" t="s">
        <v>5</v>
      </c>
      <c r="D97" s="568" t="s">
        <v>5</v>
      </c>
      <c r="E97" s="655" t="s">
        <v>5</v>
      </c>
      <c r="F97" s="568" t="s">
        <v>5</v>
      </c>
      <c r="G97" s="568" t="s">
        <v>5</v>
      </c>
      <c r="H97" s="568" t="s">
        <v>5</v>
      </c>
      <c r="I97" s="498" t="s">
        <v>5</v>
      </c>
    </row>
    <row r="98" ht="28.5" customHeight="1" outlineLevel="2">
      <c r="A98" s="898"/>
      <c r="B98" s="692" t="s">
        <v>676</v>
      </c>
      <c r="C98" s="691"/>
      <c r="D98" s="688" t="s">
        <v>677</v>
      </c>
      <c r="E98" s="679" t="n">
        <v>46181</v>
      </c>
      <c r="F98" s="679" t="n">
        <v>46181</v>
      </c>
      <c r="G98" s="691" t="n">
        <v>8</v>
      </c>
      <c r="H98" s="691" t="n">
        <v>1.5</v>
      </c>
      <c r="I98" s="683" t="s">
        <v>678</v>
      </c>
    </row>
    <row r="99" ht="85.5" customHeight="1" outlineLevel="2">
      <c r="A99" s="898"/>
      <c r="B99" s="686" t="s">
        <v>679</v>
      </c>
      <c r="C99" s="685"/>
      <c r="D99" s="688" t="s">
        <v>677</v>
      </c>
      <c r="E99" s="679" t="n">
        <v>46191</v>
      </c>
      <c r="F99" s="679" t="n">
        <v>46191</v>
      </c>
      <c r="G99" s="684" t="n">
        <v>24</v>
      </c>
      <c r="H99" s="684" t="n">
        <v>24</v>
      </c>
      <c r="I99" s="1151" t="s">
        <v>680</v>
      </c>
    </row>
    <row r="100" ht="28.5" customHeight="1" outlineLevel="2">
      <c r="A100" s="898"/>
      <c r="B100" s="690" t="s">
        <v>681</v>
      </c>
      <c r="C100" s="684"/>
      <c r="D100" s="688" t="s">
        <v>677</v>
      </c>
      <c r="E100" s="679" t="n">
        <v>46183</v>
      </c>
      <c r="F100" s="679" t="n">
        <v>46177</v>
      </c>
      <c r="G100" s="684" t="n">
        <v>8</v>
      </c>
      <c r="H100" s="684" t="n">
        <v>5</v>
      </c>
      <c r="I100" s="1152" t="s">
        <v>682</v>
      </c>
    </row>
    <row r="101" ht="28.5" customHeight="1" outlineLevel="2">
      <c r="A101" s="898"/>
      <c r="B101" s="690" t="s">
        <v>683</v>
      </c>
      <c r="C101" s="685"/>
      <c r="D101" s="688" t="s">
        <v>677</v>
      </c>
      <c r="E101" s="679" t="n">
        <v>46184</v>
      </c>
      <c r="F101" s="679" t="n">
        <v>46177</v>
      </c>
      <c r="G101" s="684" t="n">
        <v>8</v>
      </c>
      <c r="H101" s="684" t="n">
        <v>5</v>
      </c>
      <c r="I101" s="1153" t="s">
        <v>682</v>
      </c>
    </row>
    <row r="102" ht="18" customHeight="1" outlineLevel="2">
      <c r="A102" s="898"/>
      <c r="B102" s="690" t="s">
        <v>684</v>
      </c>
      <c r="C102" s="685"/>
      <c r="D102" s="688" t="s">
        <v>677</v>
      </c>
      <c r="E102" s="679" t="n">
        <v>46178</v>
      </c>
      <c r="F102" s="679" t="n">
        <v>46178</v>
      </c>
      <c r="G102" s="684" t="n">
        <v>2</v>
      </c>
      <c r="H102" s="684" t="n">
        <v>2</v>
      </c>
      <c r="I102" s="662"/>
    </row>
    <row r="103" ht="18" customHeight="1" outlineLevel="2">
      <c r="A103" s="898"/>
      <c r="B103" s="690" t="s">
        <v>685</v>
      </c>
      <c r="C103" s="685"/>
      <c r="D103" s="688" t="s">
        <v>677</v>
      </c>
      <c r="E103" s="679" t="n">
        <v>46178</v>
      </c>
      <c r="F103" s="679" t="n">
        <v>46178</v>
      </c>
      <c r="G103" s="684" t="n">
        <v>1</v>
      </c>
      <c r="H103" s="684" t="n">
        <v>1</v>
      </c>
      <c r="I103" s="662"/>
    </row>
    <row r="104" ht="114" customHeight="1" outlineLevel="2">
      <c r="A104" s="898"/>
      <c r="B104" s="689" t="s">
        <v>686</v>
      </c>
      <c r="C104" s="685"/>
      <c r="D104" s="688" t="s">
        <v>677</v>
      </c>
      <c r="E104" s="679" t="n">
        <v>46191</v>
      </c>
      <c r="F104" s="679" t="n">
        <v>46190</v>
      </c>
      <c r="G104" s="684" t="n">
        <v>8</v>
      </c>
      <c r="H104" s="684" t="n">
        <v>8</v>
      </c>
      <c r="I104" s="1154" t="s">
        <v>687</v>
      </c>
    </row>
    <row r="105" ht="18" customHeight="1" outlineLevel="2">
      <c r="A105" s="898"/>
      <c r="B105" s="689" t="s">
        <v>688</v>
      </c>
      <c r="C105" s="685"/>
      <c r="D105" s="688" t="s">
        <v>677</v>
      </c>
      <c r="E105" s="679" t="n">
        <v>46190</v>
      </c>
      <c r="F105" s="679" t="n">
        <v>46190</v>
      </c>
      <c r="G105" s="684" t="n">
        <v>2</v>
      </c>
      <c r="H105" s="684" t="n">
        <v>2</v>
      </c>
      <c r="I105" s="687"/>
    </row>
    <row r="106" ht="42.75" customHeight="1" outlineLevel="2">
      <c r="A106" s="898"/>
      <c r="B106" s="686" t="s">
        <v>689</v>
      </c>
      <c r="C106" s="685"/>
      <c r="D106" s="684" t="s">
        <v>677</v>
      </c>
      <c r="E106" s="679" t="n">
        <v>46188</v>
      </c>
      <c r="F106" s="679" t="n">
        <v>46178</v>
      </c>
      <c r="G106" s="684" t="n">
        <v>8</v>
      </c>
      <c r="H106" s="684" t="n">
        <v>8</v>
      </c>
      <c r="I106" s="1155" t="s">
        <v>690</v>
      </c>
    </row>
    <row r="107" ht="18" customHeight="1">
      <c r="A107" s="898"/>
      <c r="B107" s="682" t="s">
        <v>691</v>
      </c>
      <c r="C107" s="681" t="s">
        <v>522</v>
      </c>
      <c r="D107" s="551" t="s">
        <v>692</v>
      </c>
      <c r="E107" s="680" t="n">
        <v>46206</v>
      </c>
      <c r="F107" s="679" t="n">
        <v>46191</v>
      </c>
      <c r="G107" s="492" t="n">
        <v>0</v>
      </c>
      <c r="H107" s="491"/>
      <c r="I107" s="500"/>
    </row>
    <row r="108" ht="18" customHeight="1" outlineLevel="1">
      <c r="A108" s="898"/>
      <c r="B108" s="517" t="s">
        <v>693</v>
      </c>
      <c r="C108" s="568" t="s">
        <v>5</v>
      </c>
      <c r="D108" s="568" t="s">
        <v>5</v>
      </c>
      <c r="E108" s="655" t="s">
        <v>5</v>
      </c>
      <c r="F108" s="568" t="s">
        <v>5</v>
      </c>
      <c r="G108" s="568" t="s">
        <v>5</v>
      </c>
      <c r="H108" s="568" t="s">
        <v>5</v>
      </c>
      <c r="I108" s="498" t="s">
        <v>5</v>
      </c>
    </row>
    <row r="109" ht="18" customHeight="1" outlineLevel="2">
      <c r="A109" s="898"/>
      <c r="B109" s="624" t="s">
        <v>694</v>
      </c>
      <c r="C109" s="662"/>
      <c r="D109" s="578" t="s">
        <v>677</v>
      </c>
      <c r="E109" s="789" t="n">
        <v>46234</v>
      </c>
      <c r="F109" s="575"/>
      <c r="G109" s="575" t="n">
        <v>8</v>
      </c>
      <c r="H109" s="575"/>
      <c r="I109" s="677" t="s">
        <v>695</v>
      </c>
    </row>
    <row r="110" ht="18" customHeight="1" outlineLevel="2">
      <c r="A110" s="898"/>
      <c r="B110" s="624" t="s">
        <v>696</v>
      </c>
      <c r="C110" s="662"/>
      <c r="D110" s="578" t="s">
        <v>677</v>
      </c>
      <c r="E110" s="789" t="n">
        <v>46234</v>
      </c>
      <c r="F110" s="577"/>
      <c r="G110" s="575" t="n">
        <v>8</v>
      </c>
      <c r="H110" s="575"/>
      <c r="I110" s="677" t="s">
        <v>697</v>
      </c>
    </row>
    <row r="111" ht="18" customHeight="1" outlineLevel="2">
      <c r="A111" s="898"/>
      <c r="B111" s="624" t="s">
        <v>698</v>
      </c>
      <c r="C111" s="662"/>
      <c r="D111" s="578" t="s">
        <v>677</v>
      </c>
      <c r="E111" s="789" t="n">
        <v>46234</v>
      </c>
      <c r="F111" s="575"/>
      <c r="G111" s="575" t="n">
        <v>16</v>
      </c>
      <c r="H111" s="575"/>
      <c r="I111" s="677" t="s">
        <v>699</v>
      </c>
    </row>
    <row r="112" ht="18" customHeight="1" outlineLevel="2">
      <c r="A112" s="898"/>
      <c r="B112" s="678" t="s">
        <v>700</v>
      </c>
      <c r="C112" s="662"/>
      <c r="D112" s="578" t="s">
        <v>677</v>
      </c>
      <c r="E112" s="789" t="n">
        <v>46234</v>
      </c>
      <c r="F112" s="577"/>
      <c r="G112" s="575" t="n">
        <v>2</v>
      </c>
      <c r="H112" s="575"/>
      <c r="I112" s="677" t="s">
        <v>701</v>
      </c>
    </row>
    <row r="113" ht="18" customHeight="1">
      <c r="A113" s="898"/>
      <c r="B113" s="676" t="s">
        <v>702</v>
      </c>
      <c r="C113" s="496" t="s">
        <v>522</v>
      </c>
      <c r="D113" s="506" t="s">
        <v>703</v>
      </c>
      <c r="E113" s="789" t="n">
        <v>46234</v>
      </c>
      <c r="F113" s="493"/>
      <c r="G113" s="492" t="n">
        <v>0</v>
      </c>
      <c r="H113" s="491"/>
      <c r="I113" s="500" t="s">
        <v>704</v>
      </c>
    </row>
    <row r="114" ht="18" customHeight="1" outlineLevel="1">
      <c r="A114" s="898"/>
      <c r="B114" s="509" t="s">
        <v>705</v>
      </c>
      <c r="C114" s="568" t="s">
        <v>5</v>
      </c>
      <c r="D114" s="568" t="s">
        <v>5</v>
      </c>
      <c r="E114" s="655" t="s">
        <v>5</v>
      </c>
      <c r="F114" s="568" t="s">
        <v>5</v>
      </c>
      <c r="G114" s="568" t="s">
        <v>5</v>
      </c>
      <c r="H114" s="568" t="s">
        <v>5</v>
      </c>
      <c r="I114" s="498" t="s">
        <v>5</v>
      </c>
    </row>
    <row r="115" ht="42.75" customHeight="1" outlineLevel="2">
      <c r="A115" s="898"/>
      <c r="B115" s="598" t="s">
        <v>706</v>
      </c>
      <c r="C115" s="598"/>
      <c r="D115" s="675" t="s">
        <v>603</v>
      </c>
      <c r="E115" s="595" t="n">
        <v>46189</v>
      </c>
      <c r="F115" s="595" t="n">
        <v>46188</v>
      </c>
      <c r="G115" s="594" t="n">
        <v>2</v>
      </c>
      <c r="H115" s="598"/>
      <c r="I115" s="1156" t="s">
        <v>707</v>
      </c>
    </row>
    <row r="116" ht="57" customHeight="1" outlineLevel="2">
      <c r="A116" s="898"/>
      <c r="B116" s="598" t="s">
        <v>708</v>
      </c>
      <c r="C116" s="598"/>
      <c r="D116" s="675" t="s">
        <v>709</v>
      </c>
      <c r="E116" s="595" t="n">
        <v>46185</v>
      </c>
      <c r="F116" s="595" t="n">
        <v>46185</v>
      </c>
      <c r="G116" s="594" t="n">
        <v>2</v>
      </c>
      <c r="H116" s="598"/>
      <c r="I116" s="1157" t="s">
        <v>710</v>
      </c>
    </row>
    <row r="117" ht="85.5" customHeight="1" outlineLevel="2">
      <c r="A117" s="898"/>
      <c r="B117" s="598" t="s">
        <v>711</v>
      </c>
      <c r="C117" s="598"/>
      <c r="D117" s="675" t="s">
        <v>712</v>
      </c>
      <c r="E117" s="1158" t="s">
        <v>713</v>
      </c>
      <c r="F117" s="595" t="n">
        <v>46189</v>
      </c>
      <c r="G117" s="594" t="n">
        <v>2</v>
      </c>
      <c r="H117" s="598"/>
      <c r="I117" s="1159" t="s">
        <v>714</v>
      </c>
    </row>
    <row r="118" ht="31.5" customHeight="1" outlineLevel="2">
      <c r="A118" s="898"/>
      <c r="B118" s="598" t="s">
        <v>715</v>
      </c>
      <c r="C118" s="663"/>
      <c r="D118" s="596" t="s">
        <v>716</v>
      </c>
      <c r="E118" s="595" t="n">
        <v>46189</v>
      </c>
      <c r="F118" s="595" t="n">
        <v>46188</v>
      </c>
      <c r="G118" s="594" t="n">
        <v>2</v>
      </c>
      <c r="H118" s="594"/>
      <c r="I118" s="664" t="s">
        <v>717</v>
      </c>
    </row>
    <row r="119" ht="57" customHeight="1">
      <c r="A119" s="898"/>
      <c r="B119" s="674" t="s">
        <v>718</v>
      </c>
      <c r="C119" s="673" t="s">
        <v>522</v>
      </c>
      <c r="D119" s="596" t="s">
        <v>719</v>
      </c>
      <c r="E119" s="595" t="n">
        <v>46189</v>
      </c>
      <c r="F119" s="595" t="n">
        <v>46189</v>
      </c>
      <c r="G119" s="594"/>
      <c r="H119" s="594"/>
      <c r="I119" s="1160" t="s">
        <v>720</v>
      </c>
    </row>
    <row r="120" ht="42.75" customHeight="1">
      <c r="A120" s="898"/>
      <c r="B120" s="674" t="s">
        <v>721</v>
      </c>
      <c r="C120" s="673" t="s">
        <v>522</v>
      </c>
      <c r="D120" s="596" t="s">
        <v>722</v>
      </c>
      <c r="E120" s="595" t="n">
        <v>46189</v>
      </c>
      <c r="F120" s="595" t="n">
        <v>46189</v>
      </c>
      <c r="G120" s="594"/>
      <c r="H120" s="594"/>
      <c r="I120" s="664" t="s">
        <v>723</v>
      </c>
    </row>
    <row r="121" ht="18" customHeight="1" outlineLevel="1">
      <c r="A121" s="898"/>
      <c r="B121" s="509" t="s">
        <v>724</v>
      </c>
      <c r="C121" s="568" t="s">
        <v>5</v>
      </c>
      <c r="D121" s="568" t="s">
        <v>5</v>
      </c>
      <c r="E121" s="655" t="s">
        <v>5</v>
      </c>
      <c r="F121" s="568" t="s">
        <v>5</v>
      </c>
      <c r="G121" s="568" t="s">
        <v>5</v>
      </c>
      <c r="H121" s="568" t="s">
        <v>5</v>
      </c>
      <c r="I121" s="498" t="s">
        <v>5</v>
      </c>
    </row>
    <row r="122" s="614" customFormat="1" ht="27" customHeight="1" outlineLevel="2">
      <c r="A122" s="898"/>
      <c r="B122" s="672" t="s">
        <v>725</v>
      </c>
      <c r="C122" s="671"/>
      <c r="D122" s="661" t="s">
        <v>726</v>
      </c>
      <c r="E122" s="660" t="n">
        <v>46198</v>
      </c>
      <c r="F122" s="660" t="n">
        <v>46197</v>
      </c>
      <c r="G122" s="616" t="n">
        <v>40</v>
      </c>
      <c r="H122" s="670"/>
      <c r="I122" s="653" t="s">
        <v>727</v>
      </c>
      <c r="J122" s="582"/>
      <c r="K122" s="582"/>
      <c r="L122" s="582"/>
      <c r="M122" s="582"/>
      <c r="N122" s="582"/>
      <c r="O122" s="582"/>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row>
    <row r="123" s="614" customFormat="1" ht="57" customHeight="1" outlineLevel="2">
      <c r="A123" s="898"/>
      <c r="B123" s="672" t="s">
        <v>728</v>
      </c>
      <c r="C123" s="671"/>
      <c r="D123" s="661" t="s">
        <v>729</v>
      </c>
      <c r="E123" s="660" t="n">
        <v>46198</v>
      </c>
      <c r="F123" s="660" t="n">
        <v>46197</v>
      </c>
      <c r="G123" s="616" t="n">
        <v>40</v>
      </c>
      <c r="H123" s="670"/>
      <c r="I123" s="669" t="s">
        <v>730</v>
      </c>
      <c r="J123" s="582"/>
      <c r="K123" s="582"/>
      <c r="L123" s="582"/>
      <c r="M123" s="582"/>
      <c r="N123" s="582"/>
      <c r="O123" s="582"/>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row>
    <row r="124" s="614" customFormat="1" ht="42.75" customHeight="1">
      <c r="A124" s="898"/>
      <c r="B124" s="619" t="s">
        <v>731</v>
      </c>
      <c r="C124" s="618" t="s">
        <v>522</v>
      </c>
      <c r="D124" s="661" t="s">
        <v>729</v>
      </c>
      <c r="E124" s="660" t="n">
        <v>46198</v>
      </c>
      <c r="F124" s="660" t="n">
        <v>46197</v>
      </c>
      <c r="G124" s="616" t="n">
        <v>0</v>
      </c>
      <c r="H124" s="615"/>
      <c r="I124" s="653" t="s">
        <v>732</v>
      </c>
      <c r="J124" s="582"/>
      <c r="K124" s="582"/>
      <c r="L124" s="582"/>
      <c r="M124" s="582"/>
      <c r="N124" s="582"/>
      <c r="O124" s="582"/>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row>
    <row r="125" ht="18" customHeight="1" outlineLevel="1">
      <c r="A125" s="898"/>
      <c r="B125" s="509" t="s">
        <v>733</v>
      </c>
      <c r="C125" s="568" t="s">
        <v>5</v>
      </c>
      <c r="D125" s="568" t="s">
        <v>5</v>
      </c>
      <c r="E125" s="655" t="s">
        <v>5</v>
      </c>
      <c r="F125" s="568" t="s">
        <v>5</v>
      </c>
      <c r="G125" s="568" t="s">
        <v>5</v>
      </c>
      <c r="H125" s="568" t="s">
        <v>5</v>
      </c>
      <c r="I125" s="498" t="s">
        <v>5</v>
      </c>
    </row>
    <row r="126" ht="43.5" customHeight="1" outlineLevel="2">
      <c r="A126" s="898"/>
      <c r="B126" s="508" t="s">
        <v>734</v>
      </c>
      <c r="C126" s="503"/>
      <c r="D126" s="495" t="s">
        <v>370</v>
      </c>
      <c r="E126" s="785" t="n">
        <v>46213</v>
      </c>
      <c r="F126" s="494"/>
      <c r="G126" s="492" t="n">
        <v>1</v>
      </c>
      <c r="H126" s="492"/>
      <c r="I126" s="798" t="s">
        <v>735</v>
      </c>
    </row>
    <row r="127" ht="15" customHeight="1" outlineLevel="2">
      <c r="A127" s="898"/>
      <c r="B127" s="508" t="s">
        <v>736</v>
      </c>
      <c r="C127" s="503"/>
      <c r="D127" s="495" t="s">
        <v>370</v>
      </c>
      <c r="E127" s="785" t="n">
        <v>46213</v>
      </c>
      <c r="F127" s="494"/>
      <c r="G127" s="492" t="n">
        <v>1</v>
      </c>
      <c r="H127" s="492"/>
      <c r="I127" s="668" t="s">
        <v>737</v>
      </c>
    </row>
    <row r="128" ht="43.5" customHeight="1" outlineLevel="2">
      <c r="A128" s="898"/>
      <c r="B128" s="508" t="s">
        <v>738</v>
      </c>
      <c r="C128" s="503"/>
      <c r="D128" s="495" t="s">
        <v>370</v>
      </c>
      <c r="E128" s="785" t="n">
        <v>46213</v>
      </c>
      <c r="F128" s="494"/>
      <c r="G128" s="492" t="n">
        <v>1</v>
      </c>
      <c r="H128" s="492"/>
      <c r="I128" s="799" t="s">
        <v>739</v>
      </c>
    </row>
    <row r="129" s="605" customFormat="1" ht="43.5" customHeight="1" outlineLevel="2">
      <c r="A129" s="899"/>
      <c r="B129" s="667" t="s">
        <v>740</v>
      </c>
      <c r="C129" s="630"/>
      <c r="D129" s="666" t="s">
        <v>370</v>
      </c>
      <c r="E129" s="790" t="n">
        <v>46213</v>
      </c>
      <c r="F129" s="665"/>
      <c r="G129" s="609" t="n">
        <v>1</v>
      </c>
      <c r="H129" s="609"/>
      <c r="I129" s="664" t="s">
        <v>741</v>
      </c>
      <c r="J129" s="606"/>
      <c r="K129" s="606"/>
      <c r="L129" s="606"/>
      <c r="M129" s="606"/>
      <c r="N129" s="606"/>
      <c r="O129" s="606"/>
      <c r="P129" s="606"/>
      <c r="Q129" s="606"/>
      <c r="R129" s="606"/>
      <c r="S129" s="606"/>
      <c r="T129" s="606"/>
      <c r="U129" s="606"/>
      <c r="V129" s="606"/>
      <c r="W129" s="606"/>
      <c r="X129" s="606"/>
      <c r="Y129" s="606"/>
      <c r="Z129" s="606"/>
      <c r="AA129" s="606"/>
      <c r="AB129" s="606"/>
      <c r="AC129" s="606"/>
      <c r="AD129" s="606"/>
      <c r="AE129" s="606"/>
      <c r="AF129" s="606"/>
      <c r="AG129" s="606"/>
      <c r="AH129" s="606"/>
      <c r="AI129" s="606"/>
      <c r="AJ129" s="606"/>
      <c r="AK129" s="606"/>
      <c r="AL129" s="606"/>
      <c r="AM129" s="606"/>
      <c r="AN129" s="606"/>
    </row>
    <row r="130" ht="43.5" customHeight="1" outlineLevel="2">
      <c r="A130" s="898"/>
      <c r="B130" s="505" t="s">
        <v>742</v>
      </c>
      <c r="C130" s="506"/>
      <c r="D130" s="495" t="s">
        <v>370</v>
      </c>
      <c r="E130" s="785" t="n">
        <v>46213</v>
      </c>
      <c r="F130" s="502"/>
      <c r="G130" s="492" t="n">
        <v>1</v>
      </c>
      <c r="H130" s="491"/>
      <c r="I130" s="800" t="s">
        <v>743</v>
      </c>
    </row>
    <row r="131" ht="43.5" customHeight="1" outlineLevel="2">
      <c r="A131" s="898"/>
      <c r="B131" s="505" t="s">
        <v>744</v>
      </c>
      <c r="C131" s="503"/>
      <c r="D131" s="495" t="s">
        <v>370</v>
      </c>
      <c r="E131" s="785" t="n">
        <v>46213</v>
      </c>
      <c r="F131" s="502"/>
      <c r="G131" s="492" t="n">
        <v>1</v>
      </c>
      <c r="H131" s="491"/>
      <c r="I131" s="801" t="s">
        <v>745</v>
      </c>
    </row>
    <row r="132" ht="43.5" customHeight="1" outlineLevel="2">
      <c r="A132" s="898"/>
      <c r="B132" s="505" t="s">
        <v>746</v>
      </c>
      <c r="C132" s="503"/>
      <c r="D132" s="495" t="s">
        <v>370</v>
      </c>
      <c r="E132" s="785" t="n">
        <v>46213</v>
      </c>
      <c r="F132" s="502"/>
      <c r="G132" s="492" t="n">
        <v>1</v>
      </c>
      <c r="H132" s="491"/>
      <c r="I132" s="802" t="s">
        <v>747</v>
      </c>
    </row>
    <row r="133" ht="32.25" customHeight="1" outlineLevel="2">
      <c r="A133" s="898"/>
      <c r="B133" s="504" t="s">
        <v>748</v>
      </c>
      <c r="C133" s="503"/>
      <c r="D133" s="495" t="s">
        <v>370</v>
      </c>
      <c r="E133" s="785" t="n">
        <v>46213</v>
      </c>
      <c r="F133" s="502"/>
      <c r="G133" s="492" t="n">
        <v>1</v>
      </c>
      <c r="H133" s="491"/>
      <c r="I133" s="1161" t="s">
        <v>749</v>
      </c>
    </row>
    <row r="134" s="581" customFormat="1" ht="39" customHeight="1">
      <c r="A134" s="898"/>
      <c r="B134" s="619" t="s">
        <v>750</v>
      </c>
      <c r="C134" s="618" t="s">
        <v>522</v>
      </c>
      <c r="D134" s="661" t="s">
        <v>729</v>
      </c>
      <c r="E134" s="660" t="n">
        <v>46198</v>
      </c>
      <c r="F134" s="660" t="n">
        <v>46196</v>
      </c>
      <c r="G134" s="616" t="n">
        <v>0</v>
      </c>
      <c r="H134" s="615"/>
      <c r="I134" s="653" t="s">
        <v>751</v>
      </c>
      <c r="J134" s="582"/>
      <c r="K134" s="582"/>
      <c r="L134" s="582"/>
      <c r="M134" s="582"/>
      <c r="N134" s="582"/>
      <c r="O134" s="582"/>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row>
    <row r="135" ht="27" customHeight="1">
      <c r="A135" s="898"/>
      <c r="B135" s="497" t="s">
        <v>752</v>
      </c>
      <c r="C135" s="496" t="s">
        <v>522</v>
      </c>
      <c r="D135" s="495" t="s">
        <v>729</v>
      </c>
      <c r="E135" s="785" t="n">
        <v>46213</v>
      </c>
      <c r="F135" s="493"/>
      <c r="G135" s="492" t="n">
        <v>0</v>
      </c>
      <c r="H135" s="491"/>
      <c r="I135" s="803" t="s">
        <v>753</v>
      </c>
    </row>
    <row r="136" ht="18" customHeight="1" outlineLevel="1">
      <c r="A136" s="898"/>
      <c r="B136" s="509" t="s">
        <v>754</v>
      </c>
      <c r="C136" s="659"/>
      <c r="D136" s="658"/>
      <c r="E136" s="784"/>
      <c r="F136" s="657"/>
      <c r="G136" s="656"/>
      <c r="H136" s="655"/>
      <c r="I136" s="654"/>
    </row>
    <row r="137" s="1037" customFormat="1" ht="57" customHeight="1" outlineLevel="2">
      <c r="A137" s="1038"/>
      <c r="B137" s="1021" t="s">
        <v>755</v>
      </c>
      <c r="C137" s="1031"/>
      <c r="D137" s="1039" t="s">
        <v>756</v>
      </c>
      <c r="E137" s="1040" t="n">
        <v>46212</v>
      </c>
      <c r="F137" s="1040" t="n">
        <v>46212</v>
      </c>
      <c r="G137" s="1035" t="n">
        <v>16</v>
      </c>
      <c r="H137" s="1041"/>
      <c r="I137" s="1042" t="s">
        <v>757</v>
      </c>
      <c r="J137" s="1043"/>
      <c r="K137" s="1043"/>
      <c r="L137" s="1043"/>
      <c r="M137" s="1043"/>
      <c r="N137" s="1043"/>
      <c r="O137" s="1043"/>
      <c r="P137" s="1043"/>
      <c r="Q137" s="1043"/>
      <c r="R137" s="1043"/>
      <c r="S137" s="1043"/>
      <c r="T137" s="1043"/>
      <c r="U137" s="1043"/>
      <c r="V137" s="1043"/>
      <c r="W137" s="1043"/>
      <c r="X137" s="1043"/>
      <c r="Y137" s="1043"/>
      <c r="Z137" s="1043"/>
      <c r="AA137" s="1043"/>
      <c r="AB137" s="1043"/>
      <c r="AC137" s="1043"/>
      <c r="AD137" s="1043"/>
      <c r="AE137" s="1043"/>
      <c r="AF137" s="1043"/>
      <c r="AG137" s="1043"/>
      <c r="AH137" s="1043"/>
      <c r="AI137" s="1043"/>
      <c r="AJ137" s="1043"/>
      <c r="AK137" s="1043"/>
      <c r="AL137" s="1043"/>
      <c r="AM137" s="1043"/>
      <c r="AN137" s="1043"/>
    </row>
    <row r="138" s="1037" customFormat="1" ht="57" customHeight="1" outlineLevel="2">
      <c r="A138" s="1038"/>
      <c r="B138" s="1021" t="s">
        <v>758</v>
      </c>
      <c r="C138" s="1031"/>
      <c r="D138" s="1039" t="s">
        <v>756</v>
      </c>
      <c r="E138" s="1040" t="n">
        <v>46212</v>
      </c>
      <c r="F138" s="1040" t="n">
        <v>46212</v>
      </c>
      <c r="G138" s="1035" t="n">
        <v>16</v>
      </c>
      <c r="H138" s="1041"/>
      <c r="I138" s="1042" t="s">
        <v>759</v>
      </c>
      <c r="J138" s="1043"/>
      <c r="K138" s="1043"/>
      <c r="L138" s="1043"/>
      <c r="M138" s="1043"/>
      <c r="N138" s="1043"/>
      <c r="O138" s="1043"/>
      <c r="P138" s="1043"/>
      <c r="Q138" s="1043"/>
      <c r="R138" s="1043"/>
      <c r="S138" s="1043"/>
      <c r="T138" s="1043"/>
      <c r="U138" s="1043"/>
      <c r="V138" s="1043"/>
      <c r="W138" s="1043"/>
      <c r="X138" s="1043"/>
      <c r="Y138" s="1043"/>
      <c r="Z138" s="1043"/>
      <c r="AA138" s="1043"/>
      <c r="AB138" s="1043"/>
      <c r="AC138" s="1043"/>
      <c r="AD138" s="1043"/>
      <c r="AE138" s="1043"/>
      <c r="AF138" s="1043"/>
      <c r="AG138" s="1043"/>
      <c r="AH138" s="1043"/>
      <c r="AI138" s="1043"/>
      <c r="AJ138" s="1043"/>
      <c r="AK138" s="1043"/>
      <c r="AL138" s="1043"/>
      <c r="AM138" s="1043"/>
      <c r="AN138" s="1043"/>
    </row>
    <row r="139" s="1037" customFormat="1" ht="42.75" customHeight="1" outlineLevel="2">
      <c r="A139" s="1038"/>
      <c r="B139" s="1021" t="s">
        <v>760</v>
      </c>
      <c r="C139" s="1031"/>
      <c r="D139" s="1039" t="s">
        <v>761</v>
      </c>
      <c r="E139" s="1040" t="n">
        <v>46212</v>
      </c>
      <c r="F139" s="1040" t="n">
        <v>46212</v>
      </c>
      <c r="G139" s="1035" t="n">
        <v>16</v>
      </c>
      <c r="H139" s="1041"/>
      <c r="I139" s="1042" t="s">
        <v>762</v>
      </c>
      <c r="J139" s="1043"/>
      <c r="K139" s="1043"/>
      <c r="L139" s="1043"/>
      <c r="M139" s="1043"/>
      <c r="N139" s="1043"/>
      <c r="O139" s="1043"/>
      <c r="P139" s="1043"/>
      <c r="Q139" s="1043"/>
      <c r="R139" s="1043"/>
      <c r="S139" s="1043"/>
      <c r="T139" s="1043"/>
      <c r="U139" s="1043"/>
      <c r="V139" s="1043"/>
      <c r="W139" s="1043"/>
      <c r="X139" s="1043"/>
      <c r="Y139" s="1043"/>
      <c r="Z139" s="1043"/>
      <c r="AA139" s="1043"/>
      <c r="AB139" s="1043"/>
      <c r="AC139" s="1043"/>
      <c r="AD139" s="1043"/>
      <c r="AE139" s="1043"/>
      <c r="AF139" s="1043"/>
      <c r="AG139" s="1043"/>
      <c r="AH139" s="1043"/>
      <c r="AI139" s="1043"/>
      <c r="AJ139" s="1043"/>
      <c r="AK139" s="1043"/>
      <c r="AL139" s="1043"/>
      <c r="AM139" s="1043"/>
      <c r="AN139" s="1043"/>
    </row>
    <row r="140" ht="18" customHeight="1">
      <c r="A140" s="898"/>
      <c r="B140" s="497" t="s">
        <v>763</v>
      </c>
      <c r="C140" s="496" t="s">
        <v>522</v>
      </c>
      <c r="D140" s="495" t="s">
        <v>756</v>
      </c>
      <c r="E140" s="791" t="n">
        <v>46212</v>
      </c>
      <c r="F140" s="493"/>
      <c r="G140" s="492"/>
      <c r="H140" s="491"/>
      <c r="I140" s="501"/>
    </row>
    <row r="141" ht="18" customHeight="1" outlineLevel="1">
      <c r="A141" s="898"/>
      <c r="B141" s="509" t="s">
        <v>764</v>
      </c>
      <c r="C141" s="498" t="s">
        <v>5</v>
      </c>
      <c r="D141" s="498" t="s">
        <v>5</v>
      </c>
      <c r="E141" s="784" t="s">
        <v>5</v>
      </c>
      <c r="F141" s="498" t="s">
        <v>5</v>
      </c>
      <c r="G141" s="498" t="s">
        <v>5</v>
      </c>
      <c r="H141" s="498" t="s">
        <v>5</v>
      </c>
      <c r="I141" s="498" t="s">
        <v>5</v>
      </c>
    </row>
    <row r="142" s="605" customFormat="1" ht="100.5" customHeight="1" outlineLevel="1">
      <c r="A142" s="899"/>
      <c r="B142" s="778" t="s">
        <v>765</v>
      </c>
      <c r="C142" s="612" t="s">
        <v>522</v>
      </c>
      <c r="D142" s="652" t="s">
        <v>766</v>
      </c>
      <c r="E142" s="651" t="n">
        <v>46196</v>
      </c>
      <c r="F142" s="650" t="n">
        <v>46197</v>
      </c>
      <c r="G142" s="649" t="n">
        <v>0</v>
      </c>
      <c r="H142" s="648" t="n">
        <v>0</v>
      </c>
      <c r="I142" s="647" t="s">
        <v>767</v>
      </c>
      <c r="J142" s="606"/>
      <c r="K142" s="606"/>
      <c r="L142" s="606"/>
      <c r="M142" s="606"/>
      <c r="N142" s="606"/>
      <c r="O142" s="606"/>
      <c r="P142" s="606"/>
      <c r="Q142" s="606"/>
      <c r="R142" s="606"/>
      <c r="S142" s="606"/>
      <c r="T142" s="606"/>
      <c r="U142" s="606"/>
      <c r="V142" s="606"/>
      <c r="W142" s="606"/>
      <c r="X142" s="606"/>
      <c r="Y142" s="606"/>
      <c r="Z142" s="606"/>
      <c r="AA142" s="606"/>
      <c r="AB142" s="606"/>
      <c r="AC142" s="606"/>
      <c r="AD142" s="606"/>
      <c r="AE142" s="606"/>
      <c r="AF142" s="606"/>
      <c r="AG142" s="606"/>
      <c r="AH142" s="606"/>
      <c r="AI142" s="606"/>
      <c r="AJ142" s="606"/>
      <c r="AK142" s="606"/>
      <c r="AL142" s="606"/>
      <c r="AM142" s="606"/>
      <c r="AN142" s="606"/>
    </row>
    <row r="143" ht="18" customHeight="1" outlineLevel="1">
      <c r="A143" s="898"/>
      <c r="B143" s="779" t="s">
        <v>768</v>
      </c>
      <c r="C143" s="496" t="s">
        <v>522</v>
      </c>
      <c r="D143" s="646" t="s">
        <v>229</v>
      </c>
      <c r="E143" s="555" t="s">
        <v>769</v>
      </c>
      <c r="F143" s="638"/>
      <c r="G143" s="637" t="n">
        <v>0</v>
      </c>
      <c r="H143" s="636"/>
      <c r="I143" s="490"/>
    </row>
    <row r="144" ht="18" customHeight="1" outlineLevel="1">
      <c r="A144" s="898"/>
      <c r="B144" s="517" t="s">
        <v>770</v>
      </c>
      <c r="C144" s="498" t="s">
        <v>5</v>
      </c>
      <c r="D144" s="498" t="s">
        <v>5</v>
      </c>
      <c r="E144" s="784" t="s">
        <v>5</v>
      </c>
      <c r="F144" s="498" t="s">
        <v>5</v>
      </c>
      <c r="G144" s="498" t="s">
        <v>5</v>
      </c>
      <c r="H144" s="498" t="s">
        <v>5</v>
      </c>
      <c r="I144" s="498" t="s">
        <v>5</v>
      </c>
    </row>
    <row r="145" ht="18" customHeight="1" outlineLevel="2">
      <c r="A145" s="898"/>
      <c r="B145" s="512" t="s">
        <v>771</v>
      </c>
      <c r="C145" s="503"/>
      <c r="D145" s="506" t="s">
        <v>772</v>
      </c>
      <c r="E145" s="792" t="n">
        <v>46218</v>
      </c>
      <c r="F145" s="506"/>
      <c r="G145" s="506" t="n">
        <v>8</v>
      </c>
      <c r="H145" s="506"/>
      <c r="I145" s="622"/>
    </row>
    <row r="146" ht="18" customHeight="1" outlineLevel="2">
      <c r="A146" s="898"/>
      <c r="B146" s="512" t="s">
        <v>773</v>
      </c>
      <c r="C146" s="503"/>
      <c r="D146" s="506" t="s">
        <v>772</v>
      </c>
      <c r="E146" s="792" t="n">
        <v>46218</v>
      </c>
      <c r="F146" s="506"/>
      <c r="G146" s="506" t="n">
        <v>8</v>
      </c>
      <c r="H146" s="506"/>
      <c r="I146" s="622"/>
    </row>
    <row r="147" s="639" customFormat="1" ht="18" customHeight="1" outlineLevel="2">
      <c r="A147" s="898"/>
      <c r="B147" s="645" t="s">
        <v>774</v>
      </c>
      <c r="C147" s="644"/>
      <c r="D147" s="642" t="s">
        <v>578</v>
      </c>
      <c r="E147" s="643" t="n">
        <v>46203</v>
      </c>
      <c r="F147" s="643" t="n">
        <v>46203</v>
      </c>
      <c r="G147" s="642" t="n">
        <v>8</v>
      </c>
      <c r="H147" s="642"/>
      <c r="I147" s="641" t="s">
        <v>775</v>
      </c>
      <c r="J147" s="640"/>
      <c r="K147" s="640"/>
      <c r="L147" s="640"/>
      <c r="M147" s="640"/>
      <c r="N147" s="640"/>
      <c r="O147" s="640"/>
      <c r="P147" s="640"/>
      <c r="Q147" s="640"/>
      <c r="R147" s="640"/>
      <c r="S147" s="640"/>
      <c r="T147" s="640"/>
      <c r="U147" s="640"/>
      <c r="V147" s="640"/>
      <c r="W147" s="640"/>
      <c r="X147" s="640"/>
      <c r="Y147" s="640"/>
      <c r="Z147" s="640"/>
      <c r="AA147" s="640"/>
      <c r="AB147" s="640"/>
      <c r="AC147" s="640"/>
      <c r="AD147" s="640"/>
      <c r="AE147" s="640"/>
      <c r="AF147" s="640"/>
      <c r="AG147" s="640"/>
      <c r="AH147" s="640"/>
      <c r="AI147" s="640"/>
      <c r="AJ147" s="640"/>
      <c r="AK147" s="640"/>
      <c r="AL147" s="640"/>
      <c r="AM147" s="640"/>
      <c r="AN147" s="640"/>
    </row>
    <row r="148" ht="18" customHeight="1" outlineLevel="2">
      <c r="A148" s="898"/>
      <c r="B148" s="1021" t="s">
        <v>776</v>
      </c>
      <c r="C148" s="1031"/>
      <c r="D148" s="1032" t="s">
        <v>777</v>
      </c>
      <c r="E148" s="1033" t="n">
        <v>46233</v>
      </c>
      <c r="F148" s="1034"/>
      <c r="G148" s="1035" t="n">
        <v>8</v>
      </c>
      <c r="H148" s="1035"/>
      <c r="I148" s="1036" t="s">
        <v>778</v>
      </c>
    </row>
    <row r="149" ht="18" customHeight="1" outlineLevel="2">
      <c r="A149" s="898"/>
      <c r="B149" s="512" t="s">
        <v>779</v>
      </c>
      <c r="C149" s="557"/>
      <c r="D149" s="506" t="s">
        <v>777</v>
      </c>
      <c r="E149" s="785" t="n">
        <v>46233</v>
      </c>
      <c r="F149" s="494"/>
      <c r="G149" s="492" t="n">
        <v>8</v>
      </c>
      <c r="H149" s="492"/>
      <c r="I149" s="490"/>
    </row>
    <row r="150" ht="18" customHeight="1">
      <c r="A150" s="898"/>
      <c r="B150" s="554" t="s">
        <v>780</v>
      </c>
      <c r="C150" s="496" t="s">
        <v>522</v>
      </c>
      <c r="D150" s="506" t="s">
        <v>772</v>
      </c>
      <c r="E150" s="785" t="n">
        <v>46233</v>
      </c>
      <c r="F150" s="638"/>
      <c r="G150" s="637" t="n">
        <v>0</v>
      </c>
      <c r="H150" s="636"/>
      <c r="I150" s="635"/>
    </row>
    <row r="151" ht="18" customHeight="1" outlineLevel="1">
      <c r="A151" s="898"/>
      <c r="B151" s="517" t="s">
        <v>781</v>
      </c>
      <c r="C151" s="498" t="s">
        <v>5</v>
      </c>
      <c r="D151" s="498" t="s">
        <v>5</v>
      </c>
      <c r="E151" s="784" t="s">
        <v>5</v>
      </c>
      <c r="F151" s="498" t="s">
        <v>5</v>
      </c>
      <c r="G151" s="498" t="s">
        <v>5</v>
      </c>
      <c r="H151" s="498" t="s">
        <v>5</v>
      </c>
      <c r="I151" s="498" t="s">
        <v>5</v>
      </c>
    </row>
    <row r="152" ht="18" customHeight="1" outlineLevel="2">
      <c r="A152" s="898"/>
      <c r="B152" s="505" t="s">
        <v>782</v>
      </c>
      <c r="C152" s="503"/>
      <c r="D152" s="506" t="s">
        <v>783</v>
      </c>
      <c r="E152" s="785" t="n">
        <v>46233</v>
      </c>
      <c r="F152" s="556"/>
      <c r="G152" s="506" t="n">
        <v>8</v>
      </c>
      <c r="H152" s="555"/>
      <c r="I152" s="551"/>
    </row>
    <row r="153" ht="18" customHeight="1" outlineLevel="2">
      <c r="A153" s="898"/>
      <c r="B153" s="505" t="s">
        <v>784</v>
      </c>
      <c r="C153" s="503"/>
      <c r="D153" s="506" t="s">
        <v>783</v>
      </c>
      <c r="E153" s="785" t="n">
        <v>46233</v>
      </c>
      <c r="F153" s="556"/>
      <c r="G153" s="506" t="n">
        <v>8</v>
      </c>
      <c r="H153" s="555"/>
      <c r="I153" s="551"/>
    </row>
    <row r="154" ht="18" customHeight="1" outlineLevel="2">
      <c r="A154" s="898"/>
      <c r="B154" s="505" t="s">
        <v>785</v>
      </c>
      <c r="C154" s="503"/>
      <c r="D154" s="506" t="s">
        <v>783</v>
      </c>
      <c r="E154" s="785" t="n">
        <v>46233</v>
      </c>
      <c r="F154" s="556"/>
      <c r="G154" s="506" t="n">
        <v>8</v>
      </c>
      <c r="H154" s="555"/>
      <c r="I154" s="551"/>
    </row>
    <row r="155" ht="18" customHeight="1" outlineLevel="2">
      <c r="A155" s="898"/>
      <c r="B155" s="505" t="s">
        <v>786</v>
      </c>
      <c r="C155" s="503"/>
      <c r="D155" s="506" t="s">
        <v>783</v>
      </c>
      <c r="E155" s="785" t="n">
        <v>46233</v>
      </c>
      <c r="F155" s="556"/>
      <c r="G155" s="506" t="n">
        <v>8</v>
      </c>
      <c r="H155" s="555"/>
      <c r="I155" s="551"/>
    </row>
    <row r="156" ht="18" customHeight="1" outlineLevel="2">
      <c r="A156" s="898"/>
      <c r="B156" s="505" t="s">
        <v>787</v>
      </c>
      <c r="C156" s="503"/>
      <c r="D156" s="506" t="s">
        <v>783</v>
      </c>
      <c r="E156" s="785" t="n">
        <v>46233</v>
      </c>
      <c r="F156" s="556"/>
      <c r="G156" s="506" t="n">
        <v>8</v>
      </c>
      <c r="H156" s="555"/>
      <c r="I156" s="551"/>
    </row>
    <row r="157" ht="18" customHeight="1" outlineLevel="2">
      <c r="A157" s="898"/>
      <c r="B157" s="505" t="s">
        <v>788</v>
      </c>
      <c r="C157" s="503"/>
      <c r="D157" s="506" t="s">
        <v>783</v>
      </c>
      <c r="E157" s="785" t="n">
        <v>46233</v>
      </c>
      <c r="F157" s="556"/>
      <c r="G157" s="506" t="n">
        <v>8</v>
      </c>
      <c r="H157" s="555"/>
      <c r="I157" s="551"/>
    </row>
    <row r="158" ht="18" customHeight="1" outlineLevel="2">
      <c r="A158" s="898"/>
      <c r="B158" s="505" t="s">
        <v>789</v>
      </c>
      <c r="C158" s="557"/>
      <c r="D158" s="506" t="s">
        <v>783</v>
      </c>
      <c r="E158" s="785" t="n">
        <v>46233</v>
      </c>
      <c r="F158" s="556"/>
      <c r="G158" s="506" t="n">
        <v>8</v>
      </c>
      <c r="H158" s="555"/>
      <c r="I158" s="551"/>
    </row>
    <row r="159" ht="18" customHeight="1" outlineLevel="2">
      <c r="A159" s="898"/>
      <c r="B159" s="505" t="s">
        <v>790</v>
      </c>
      <c r="C159" s="503"/>
      <c r="D159" s="506" t="s">
        <v>783</v>
      </c>
      <c r="E159" s="785" t="n">
        <v>46233</v>
      </c>
      <c r="F159" s="503"/>
      <c r="G159" s="506" t="n">
        <v>8</v>
      </c>
      <c r="H159" s="506"/>
      <c r="I159" s="551"/>
    </row>
    <row r="160" ht="18" customHeight="1">
      <c r="A160" s="898"/>
      <c r="B160" s="554" t="s">
        <v>791</v>
      </c>
      <c r="C160" s="496" t="s">
        <v>522</v>
      </c>
      <c r="D160" s="506" t="s">
        <v>783</v>
      </c>
      <c r="E160" s="785" t="n">
        <v>46233</v>
      </c>
      <c r="F160" s="553"/>
      <c r="G160" s="552" t="n">
        <v>0</v>
      </c>
      <c r="H160" s="552"/>
      <c r="I160" s="551"/>
    </row>
    <row r="161" ht="18" customHeight="1" outlineLevel="1">
      <c r="A161" s="1162" t="s">
        <v>792</v>
      </c>
      <c r="B161" s="509" t="s">
        <v>793</v>
      </c>
      <c r="C161" s="498" t="s">
        <v>5</v>
      </c>
      <c r="D161" s="498" t="s">
        <v>5</v>
      </c>
      <c r="E161" s="784" t="s">
        <v>5</v>
      </c>
      <c r="F161" s="498" t="s">
        <v>5</v>
      </c>
      <c r="G161" s="498" t="s">
        <v>5</v>
      </c>
      <c r="H161" s="498" t="s">
        <v>5</v>
      </c>
      <c r="I161" s="498" t="s">
        <v>5</v>
      </c>
    </row>
    <row r="162" ht="18" customHeight="1" outlineLevel="2">
      <c r="A162" s="905"/>
      <c r="B162" s="592" t="s">
        <v>794</v>
      </c>
      <c r="C162" s="588"/>
      <c r="D162" s="587" t="s">
        <v>229</v>
      </c>
      <c r="E162" s="586" t="n">
        <v>46178</v>
      </c>
      <c r="F162" s="586" t="n">
        <v>46178</v>
      </c>
      <c r="G162" s="585" t="n">
        <v>8</v>
      </c>
      <c r="H162" s="634"/>
      <c r="I162" s="1163" t="s">
        <v>795</v>
      </c>
    </row>
    <row r="163" ht="18" customHeight="1" outlineLevel="2">
      <c r="A163" s="905"/>
      <c r="B163" s="592" t="s">
        <v>796</v>
      </c>
      <c r="C163" s="588"/>
      <c r="D163" s="587" t="s">
        <v>229</v>
      </c>
      <c r="E163" s="586" t="n">
        <v>46178</v>
      </c>
      <c r="F163" s="586" t="n">
        <v>46178</v>
      </c>
      <c r="G163" s="585" t="n">
        <v>8</v>
      </c>
      <c r="H163" s="634"/>
      <c r="I163" s="907"/>
    </row>
    <row r="164" ht="18" customHeight="1" outlineLevel="2">
      <c r="A164" s="905"/>
      <c r="B164" s="592" t="s">
        <v>797</v>
      </c>
      <c r="C164" s="588"/>
      <c r="D164" s="587" t="s">
        <v>229</v>
      </c>
      <c r="E164" s="586" t="n">
        <v>46178</v>
      </c>
      <c r="F164" s="586" t="n">
        <v>46178</v>
      </c>
      <c r="G164" s="585" t="n">
        <v>8</v>
      </c>
      <c r="H164" s="634"/>
      <c r="I164" s="907"/>
    </row>
    <row r="165" ht="18" customHeight="1" outlineLevel="2">
      <c r="A165" s="905"/>
      <c r="B165" s="592" t="s">
        <v>798</v>
      </c>
      <c r="C165" s="588"/>
      <c r="D165" s="587" t="s">
        <v>229</v>
      </c>
      <c r="E165" s="586" t="n">
        <v>46178</v>
      </c>
      <c r="F165" s="586" t="n">
        <v>46178</v>
      </c>
      <c r="G165" s="585" t="n">
        <v>8</v>
      </c>
      <c r="H165" s="634"/>
      <c r="I165" s="907"/>
    </row>
    <row r="166" ht="18" customHeight="1" outlineLevel="2">
      <c r="A166" s="905"/>
      <c r="B166" s="592" t="s">
        <v>799</v>
      </c>
      <c r="C166" s="588"/>
      <c r="D166" s="587" t="s">
        <v>229</v>
      </c>
      <c r="E166" s="586" t="n">
        <v>46178</v>
      </c>
      <c r="F166" s="586" t="n">
        <v>46178</v>
      </c>
      <c r="G166" s="585" t="n">
        <v>8</v>
      </c>
      <c r="H166" s="634"/>
      <c r="I166" s="907"/>
    </row>
    <row r="167" ht="18" customHeight="1">
      <c r="A167" s="905"/>
      <c r="B167" s="589" t="s">
        <v>800</v>
      </c>
      <c r="C167" s="633" t="s">
        <v>522</v>
      </c>
      <c r="D167" s="632" t="s">
        <v>229</v>
      </c>
      <c r="E167" s="586" t="n">
        <v>46178</v>
      </c>
      <c r="F167" s="586" t="n">
        <v>46178</v>
      </c>
      <c r="G167" s="585" t="n">
        <v>0</v>
      </c>
      <c r="H167" s="585"/>
      <c r="I167" s="908"/>
    </row>
    <row r="168" ht="18" customHeight="1">
      <c r="A168" s="905"/>
      <c r="B168" s="509" t="s">
        <v>801</v>
      </c>
      <c r="C168" s="568"/>
      <c r="D168" s="568"/>
      <c r="E168" s="793"/>
      <c r="F168" s="568"/>
      <c r="G168" s="568"/>
      <c r="H168" s="568"/>
      <c r="I168" s="567"/>
    </row>
    <row r="169" ht="18" customHeight="1">
      <c r="A169" s="905"/>
      <c r="B169" s="604" t="s">
        <v>802</v>
      </c>
      <c r="C169" s="488"/>
      <c r="D169" s="488" t="s">
        <v>803</v>
      </c>
      <c r="E169" s="792" t="n">
        <v>46218</v>
      </c>
      <c r="F169" s="488"/>
      <c r="G169" s="488" t="n">
        <v>40</v>
      </c>
      <c r="H169" s="488"/>
      <c r="I169" s="1164" t="s">
        <v>804</v>
      </c>
    </row>
    <row r="170" ht="18" customHeight="1">
      <c r="A170" s="905"/>
      <c r="B170" s="604" t="s">
        <v>805</v>
      </c>
      <c r="C170" s="488"/>
      <c r="D170" s="488" t="s">
        <v>314</v>
      </c>
      <c r="E170" s="792" t="n">
        <v>46218</v>
      </c>
      <c r="F170" s="488"/>
      <c r="G170" s="488" t="n">
        <v>16</v>
      </c>
      <c r="H170" s="488"/>
      <c r="I170" s="1120"/>
    </row>
    <row r="171" ht="18" customHeight="1">
      <c r="A171" s="905"/>
      <c r="B171" s="604" t="s">
        <v>806</v>
      </c>
      <c r="C171" s="488"/>
      <c r="D171" s="488" t="s">
        <v>308</v>
      </c>
      <c r="E171" s="792" t="n">
        <v>46218</v>
      </c>
      <c r="F171" s="488"/>
      <c r="G171" s="488" t="n">
        <v>8</v>
      </c>
      <c r="H171" s="488"/>
      <c r="I171" s="1120"/>
    </row>
    <row r="172" ht="18" customHeight="1" outlineLevel="1">
      <c r="A172" s="905"/>
      <c r="B172" s="509" t="s">
        <v>807</v>
      </c>
      <c r="C172" s="568" t="s">
        <v>5</v>
      </c>
      <c r="D172" s="568" t="s">
        <v>5</v>
      </c>
      <c r="E172" s="793" t="s">
        <v>5</v>
      </c>
      <c r="F172" s="568" t="s">
        <v>5</v>
      </c>
      <c r="G172" s="568" t="s">
        <v>5</v>
      </c>
      <c r="H172" s="568" t="s">
        <v>5</v>
      </c>
      <c r="I172" s="567" t="s">
        <v>5</v>
      </c>
    </row>
    <row r="173" s="605" customFormat="1" ht="18" customHeight="1" outlineLevel="2">
      <c r="A173" s="906"/>
      <c r="B173" s="631" t="s">
        <v>728</v>
      </c>
      <c r="C173" s="630"/>
      <c r="D173" s="629" t="s">
        <v>605</v>
      </c>
      <c r="E173" s="628" t="n">
        <v>46199</v>
      </c>
      <c r="F173" s="628" t="n">
        <v>46197</v>
      </c>
      <c r="G173" s="609" t="n">
        <v>40</v>
      </c>
      <c r="H173" s="627"/>
      <c r="I173" s="626"/>
      <c r="J173" s="606"/>
      <c r="K173" s="606"/>
      <c r="L173" s="606"/>
      <c r="M173" s="606"/>
      <c r="N173" s="606"/>
      <c r="O173" s="606"/>
      <c r="P173" s="606"/>
      <c r="Q173" s="606"/>
      <c r="R173" s="606"/>
      <c r="S173" s="606"/>
      <c r="T173" s="606"/>
      <c r="U173" s="606"/>
      <c r="V173" s="606"/>
      <c r="W173" s="606"/>
      <c r="X173" s="606"/>
      <c r="Y173" s="606"/>
      <c r="Z173" s="606"/>
      <c r="AA173" s="606"/>
      <c r="AB173" s="606"/>
      <c r="AC173" s="606"/>
      <c r="AD173" s="606"/>
      <c r="AE173" s="606"/>
      <c r="AF173" s="606"/>
      <c r="AG173" s="606"/>
      <c r="AH173" s="606"/>
      <c r="AI173" s="606"/>
      <c r="AJ173" s="606"/>
      <c r="AK173" s="606"/>
      <c r="AL173" s="606"/>
      <c r="AM173" s="606"/>
      <c r="AN173" s="606"/>
    </row>
    <row r="174" ht="18" customHeight="1" outlineLevel="2">
      <c r="A174" s="905"/>
      <c r="B174" s="549" t="s">
        <v>808</v>
      </c>
      <c r="C174" s="561"/>
      <c r="D174" s="561" t="s">
        <v>777</v>
      </c>
      <c r="E174" s="792" t="n">
        <v>46218</v>
      </c>
      <c r="F174" s="624"/>
      <c r="G174" s="546" t="n">
        <v>8</v>
      </c>
      <c r="H174" s="559"/>
      <c r="I174" s="558"/>
    </row>
    <row r="175" ht="18" customHeight="1" outlineLevel="2">
      <c r="A175" s="905"/>
      <c r="B175" s="549" t="s">
        <v>809</v>
      </c>
      <c r="C175" s="561"/>
      <c r="D175" s="561" t="s">
        <v>777</v>
      </c>
      <c r="E175" s="792" t="n">
        <v>46218</v>
      </c>
      <c r="F175" s="624"/>
      <c r="G175" s="546" t="n">
        <v>8</v>
      </c>
      <c r="H175" s="559"/>
      <c r="I175" s="558"/>
    </row>
    <row r="176" ht="18" customHeight="1" outlineLevel="2">
      <c r="A176" s="905"/>
      <c r="B176" s="549" t="s">
        <v>810</v>
      </c>
      <c r="C176" s="625"/>
      <c r="D176" s="561" t="s">
        <v>777</v>
      </c>
      <c r="E176" s="792" t="n">
        <v>46218</v>
      </c>
      <c r="F176" s="624"/>
      <c r="G176" s="546" t="n">
        <v>8</v>
      </c>
      <c r="H176" s="559"/>
      <c r="I176" s="558"/>
    </row>
    <row r="177" ht="18" customHeight="1" outlineLevel="2">
      <c r="A177" s="905"/>
      <c r="B177" s="1022" t="s">
        <v>811</v>
      </c>
      <c r="C177" s="1023"/>
      <c r="D177" s="1023" t="s">
        <v>777</v>
      </c>
      <c r="E177" s="1024" t="n">
        <v>46218</v>
      </c>
      <c r="F177" s="1025"/>
      <c r="G177" s="1026" t="n">
        <v>8</v>
      </c>
      <c r="H177" s="1027"/>
      <c r="I177" s="1028" t="s">
        <v>812</v>
      </c>
    </row>
    <row r="178" ht="18" customHeight="1" outlineLevel="2">
      <c r="A178" s="905"/>
      <c r="B178" s="549" t="s">
        <v>813</v>
      </c>
      <c r="C178" s="621"/>
      <c r="D178" s="561" t="s">
        <v>777</v>
      </c>
      <c r="E178" s="792" t="n">
        <v>46218</v>
      </c>
      <c r="F178" s="578"/>
      <c r="G178" s="546" t="n">
        <v>8</v>
      </c>
      <c r="H178" s="559"/>
      <c r="I178" s="558"/>
    </row>
    <row r="179" ht="18" customHeight="1" outlineLevel="2">
      <c r="A179" s="905"/>
      <c r="B179" s="549" t="s">
        <v>814</v>
      </c>
      <c r="C179" s="621"/>
      <c r="D179" s="561" t="s">
        <v>777</v>
      </c>
      <c r="E179" s="792" t="n">
        <v>46218</v>
      </c>
      <c r="F179" s="578"/>
      <c r="G179" s="546" t="n">
        <v>8</v>
      </c>
      <c r="H179" s="559"/>
      <c r="I179" s="558"/>
    </row>
    <row r="180" ht="18" customHeight="1" outlineLevel="2">
      <c r="A180" s="905"/>
      <c r="B180" s="549" t="s">
        <v>815</v>
      </c>
      <c r="C180" s="621"/>
      <c r="D180" s="561" t="s">
        <v>777</v>
      </c>
      <c r="E180" s="792" t="n">
        <v>46218</v>
      </c>
      <c r="F180" s="578"/>
      <c r="G180" s="546" t="n">
        <v>8</v>
      </c>
      <c r="H180" s="559"/>
      <c r="I180" s="558"/>
    </row>
    <row r="181" ht="18" customHeight="1" outlineLevel="2">
      <c r="A181" s="905"/>
      <c r="B181" s="1022" t="s">
        <v>816</v>
      </c>
      <c r="C181" s="1029"/>
      <c r="D181" s="1023" t="s">
        <v>777</v>
      </c>
      <c r="E181" s="1024" t="n">
        <v>46218</v>
      </c>
      <c r="F181" s="1030" t="n">
        <v>46211</v>
      </c>
      <c r="G181" s="1026" t="n">
        <v>8</v>
      </c>
      <c r="H181" s="1027"/>
      <c r="I181" s="1028" t="s">
        <v>817</v>
      </c>
    </row>
    <row r="182" ht="18" customHeight="1" outlineLevel="2">
      <c r="A182" s="905"/>
      <c r="B182" s="549" t="s">
        <v>818</v>
      </c>
      <c r="C182" s="621"/>
      <c r="D182" s="561" t="s">
        <v>777</v>
      </c>
      <c r="E182" s="792" t="n">
        <v>46218</v>
      </c>
      <c r="F182" s="578"/>
      <c r="G182" s="546" t="n">
        <v>8</v>
      </c>
      <c r="H182" s="559"/>
      <c r="I182" s="558"/>
    </row>
    <row r="183" ht="18" customHeight="1" outlineLevel="2">
      <c r="A183" s="905"/>
      <c r="B183" s="549" t="s">
        <v>819</v>
      </c>
      <c r="C183" s="621"/>
      <c r="D183" s="561" t="s">
        <v>777</v>
      </c>
      <c r="E183" s="792" t="n">
        <v>46220</v>
      </c>
      <c r="F183" s="578"/>
      <c r="G183" s="546" t="n">
        <v>8</v>
      </c>
      <c r="H183" s="559"/>
      <c r="I183" s="558"/>
    </row>
    <row r="184" ht="18" customHeight="1" outlineLevel="2">
      <c r="A184" s="905"/>
      <c r="B184" s="512" t="s">
        <v>774</v>
      </c>
      <c r="C184" s="623"/>
      <c r="D184" s="506" t="s">
        <v>777</v>
      </c>
      <c r="E184" s="792" t="n">
        <v>46218</v>
      </c>
      <c r="F184" s="575"/>
      <c r="G184" s="506" t="n">
        <v>8</v>
      </c>
      <c r="H184" s="506"/>
      <c r="I184" s="622" t="s">
        <v>820</v>
      </c>
    </row>
    <row r="185" ht="18" customHeight="1" outlineLevel="2">
      <c r="A185" s="905"/>
      <c r="B185" s="549" t="s">
        <v>821</v>
      </c>
      <c r="C185" s="621"/>
      <c r="D185" s="530" t="s">
        <v>777</v>
      </c>
      <c r="E185" s="792" t="n">
        <v>46254</v>
      </c>
      <c r="F185" s="578"/>
      <c r="G185" s="546" t="n">
        <v>8</v>
      </c>
      <c r="H185" s="559"/>
      <c r="I185" s="558"/>
    </row>
    <row r="186" ht="18" customHeight="1" outlineLevel="2">
      <c r="A186" s="905"/>
      <c r="B186" s="512" t="s">
        <v>779</v>
      </c>
      <c r="C186" s="557"/>
      <c r="D186" s="620" t="s">
        <v>772</v>
      </c>
      <c r="E186" s="789" t="n">
        <v>46233</v>
      </c>
      <c r="F186" s="575"/>
      <c r="G186" s="492" t="n">
        <v>8</v>
      </c>
      <c r="H186" s="492"/>
      <c r="I186" s="490"/>
    </row>
    <row r="187" s="614" customFormat="1" ht="18" customHeight="1" outlineLevel="1">
      <c r="A187" s="905"/>
      <c r="B187" s="619" t="s">
        <v>822</v>
      </c>
      <c r="C187" s="618" t="s">
        <v>522</v>
      </c>
      <c r="D187" s="617" t="s">
        <v>823</v>
      </c>
      <c r="E187" s="586" t="n">
        <v>46189</v>
      </c>
      <c r="F187" s="586" t="n">
        <v>46189</v>
      </c>
      <c r="G187" s="616" t="n">
        <v>0</v>
      </c>
      <c r="H187" s="615"/>
      <c r="I187" s="487"/>
      <c r="J187" s="582"/>
      <c r="K187" s="582"/>
      <c r="L187" s="582"/>
      <c r="M187" s="582"/>
      <c r="N187" s="582"/>
      <c r="O187" s="582"/>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row>
    <row r="188" s="605" customFormat="1" ht="14.25" customHeight="1" outlineLevel="1">
      <c r="A188" s="906"/>
      <c r="B188" s="613" t="s">
        <v>824</v>
      </c>
      <c r="C188" s="612" t="s">
        <v>522</v>
      </c>
      <c r="D188" s="611" t="s">
        <v>605</v>
      </c>
      <c r="E188" s="595" t="n">
        <v>46197</v>
      </c>
      <c r="F188" s="610" t="n">
        <v>46199</v>
      </c>
      <c r="G188" s="609" t="n">
        <v>0</v>
      </c>
      <c r="H188" s="608" t="n">
        <v>0</v>
      </c>
      <c r="I188" s="607" t="s">
        <v>825</v>
      </c>
      <c r="J188" s="606"/>
      <c r="K188" s="606"/>
      <c r="L188" s="606"/>
      <c r="M188" s="606"/>
      <c r="N188" s="606"/>
      <c r="O188" s="606"/>
      <c r="P188" s="606"/>
      <c r="Q188" s="606"/>
      <c r="R188" s="606"/>
      <c r="S188" s="606"/>
      <c r="T188" s="606"/>
      <c r="U188" s="606"/>
      <c r="V188" s="606"/>
      <c r="W188" s="606"/>
      <c r="X188" s="606"/>
      <c r="Y188" s="606"/>
      <c r="Z188" s="606"/>
      <c r="AA188" s="606"/>
      <c r="AB188" s="606"/>
      <c r="AC188" s="606"/>
      <c r="AD188" s="606"/>
      <c r="AE188" s="606"/>
      <c r="AF188" s="606"/>
      <c r="AG188" s="606"/>
      <c r="AH188" s="606"/>
      <c r="AI188" s="606"/>
      <c r="AJ188" s="606"/>
      <c r="AK188" s="606"/>
      <c r="AL188" s="606"/>
      <c r="AM188" s="606"/>
      <c r="AN188" s="606"/>
    </row>
    <row r="189" ht="18" customHeight="1">
      <c r="A189" s="905"/>
      <c r="B189" s="563" t="s">
        <v>826</v>
      </c>
      <c r="C189" s="562" t="s">
        <v>522</v>
      </c>
      <c r="D189" s="561" t="s">
        <v>777</v>
      </c>
      <c r="E189" s="794" t="n">
        <v>46254</v>
      </c>
      <c r="F189" s="578"/>
      <c r="G189" s="546" t="n">
        <v>0</v>
      </c>
      <c r="H189" s="559"/>
      <c r="I189" s="558"/>
    </row>
    <row r="190" ht="18" customHeight="1" outlineLevel="1">
      <c r="A190" s="905"/>
      <c r="B190" s="509" t="s">
        <v>827</v>
      </c>
      <c r="C190" s="498" t="s">
        <v>5</v>
      </c>
      <c r="D190" s="498" t="s">
        <v>5</v>
      </c>
      <c r="E190" s="784" t="s">
        <v>5</v>
      </c>
      <c r="F190" s="498" t="s">
        <v>5</v>
      </c>
      <c r="G190" s="498" t="s">
        <v>5</v>
      </c>
      <c r="H190" s="498" t="s">
        <v>5</v>
      </c>
      <c r="I190" s="498" t="s">
        <v>5</v>
      </c>
    </row>
    <row r="191" ht="28.5" customHeight="1" outlineLevel="2">
      <c r="A191" s="905"/>
      <c r="B191" s="604" t="s">
        <v>828</v>
      </c>
      <c r="C191" s="603"/>
      <c r="D191" s="530" t="s">
        <v>829</v>
      </c>
      <c r="E191" s="792" t="n">
        <v>46249</v>
      </c>
      <c r="F191" s="547"/>
      <c r="G191" s="546" t="n">
        <v>40</v>
      </c>
      <c r="H191" s="546"/>
      <c r="I191" s="804" t="s">
        <v>830</v>
      </c>
    </row>
    <row r="192" ht="18" customHeight="1" outlineLevel="2">
      <c r="A192" s="905"/>
      <c r="B192" s="604" t="s">
        <v>831</v>
      </c>
      <c r="C192" s="603"/>
      <c r="D192" s="530" t="s">
        <v>829</v>
      </c>
      <c r="E192" s="792" t="n">
        <v>46249</v>
      </c>
      <c r="F192" s="547"/>
      <c r="G192" s="546" t="n">
        <v>16</v>
      </c>
      <c r="H192" s="546"/>
      <c r="I192" s="913" t="s">
        <v>832</v>
      </c>
    </row>
    <row r="193" ht="18" customHeight="1" outlineLevel="2">
      <c r="A193" s="905"/>
      <c r="B193" s="604" t="s">
        <v>833</v>
      </c>
      <c r="C193" s="603"/>
      <c r="D193" s="530" t="s">
        <v>829</v>
      </c>
      <c r="E193" s="792" t="n">
        <v>46249</v>
      </c>
      <c r="F193" s="547"/>
      <c r="G193" s="546" t="n">
        <v>40</v>
      </c>
      <c r="H193" s="546"/>
      <c r="I193" s="914"/>
    </row>
    <row r="194" ht="18" customHeight="1" outlineLevel="2">
      <c r="A194" s="905"/>
      <c r="B194" s="602" t="s">
        <v>834</v>
      </c>
      <c r="C194" s="601"/>
      <c r="D194" s="530" t="s">
        <v>829</v>
      </c>
      <c r="E194" s="792" t="n">
        <v>46249</v>
      </c>
      <c r="F194" s="600"/>
      <c r="G194" s="599" t="n">
        <v>40</v>
      </c>
      <c r="H194" s="599"/>
      <c r="I194" s="914"/>
    </row>
    <row r="195" ht="18" customHeight="1" outlineLevel="1">
      <c r="A195" s="905"/>
      <c r="B195" s="563" t="s">
        <v>835</v>
      </c>
      <c r="C195" s="562" t="s">
        <v>522</v>
      </c>
      <c r="D195" s="530" t="s">
        <v>829</v>
      </c>
      <c r="E195" s="792" t="n">
        <v>46249</v>
      </c>
      <c r="F195" s="600"/>
      <c r="G195" s="599" t="n">
        <v>0</v>
      </c>
      <c r="H195" s="599"/>
      <c r="I195" s="915"/>
    </row>
    <row r="196" ht="18" customHeight="1" outlineLevel="1">
      <c r="A196" s="905"/>
      <c r="B196" s="509" t="s">
        <v>836</v>
      </c>
      <c r="C196" s="498" t="s">
        <v>5</v>
      </c>
      <c r="D196" s="498" t="s">
        <v>5</v>
      </c>
      <c r="E196" s="784" t="s">
        <v>5</v>
      </c>
      <c r="F196" s="498" t="s">
        <v>5</v>
      </c>
      <c r="G196" s="498" t="s">
        <v>5</v>
      </c>
      <c r="H196" s="498" t="s">
        <v>5</v>
      </c>
      <c r="I196" s="550" t="s">
        <v>5</v>
      </c>
    </row>
    <row r="197" ht="18" customHeight="1" outlineLevel="2">
      <c r="A197" s="905"/>
      <c r="B197" s="598" t="s">
        <v>837</v>
      </c>
      <c r="C197" s="597"/>
      <c r="D197" s="596" t="s">
        <v>229</v>
      </c>
      <c r="E197" s="595" t="n">
        <v>46191</v>
      </c>
      <c r="F197" s="595" t="n">
        <v>46185</v>
      </c>
      <c r="G197" s="594" t="n">
        <v>8</v>
      </c>
      <c r="H197" s="593"/>
      <c r="I197" s="591" t="s">
        <v>838</v>
      </c>
    </row>
    <row r="198" s="581" customFormat="1" ht="18" customHeight="1" outlineLevel="2">
      <c r="A198" s="905"/>
      <c r="B198" s="592" t="s">
        <v>839</v>
      </c>
      <c r="C198" s="588"/>
      <c r="D198" s="587" t="s">
        <v>229</v>
      </c>
      <c r="E198" s="586" t="n">
        <v>46192</v>
      </c>
      <c r="F198" s="586" t="n">
        <v>46192</v>
      </c>
      <c r="G198" s="585" t="n">
        <v>8</v>
      </c>
      <c r="H198" s="584"/>
      <c r="I198" s="591" t="s">
        <v>840</v>
      </c>
      <c r="J198" s="582"/>
      <c r="K198" s="582"/>
      <c r="L198" s="582"/>
      <c r="M198" s="582"/>
      <c r="N198" s="582"/>
      <c r="O198" s="582"/>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row>
    <row r="199" ht="18" customHeight="1" outlineLevel="2">
      <c r="A199" s="905"/>
      <c r="B199" s="590" t="s">
        <v>841</v>
      </c>
      <c r="C199" s="540"/>
      <c r="D199" s="578" t="s">
        <v>229</v>
      </c>
      <c r="E199" s="789" t="n">
        <v>46213</v>
      </c>
      <c r="F199" s="576"/>
      <c r="G199" s="575" t="n">
        <v>8</v>
      </c>
      <c r="H199" s="574"/>
      <c r="I199" s="1165" t="s">
        <v>842</v>
      </c>
    </row>
    <row r="200" ht="18" customHeight="1" outlineLevel="2">
      <c r="A200" s="905"/>
      <c r="B200" s="590" t="s">
        <v>843</v>
      </c>
      <c r="C200" s="540"/>
      <c r="D200" s="578" t="s">
        <v>229</v>
      </c>
      <c r="E200" s="789" t="n">
        <v>46213</v>
      </c>
      <c r="F200" s="576"/>
      <c r="G200" s="575" t="n">
        <v>8</v>
      </c>
      <c r="H200" s="574"/>
      <c r="I200" s="895"/>
    </row>
    <row r="201" ht="18" customHeight="1" outlineLevel="2">
      <c r="A201" s="905"/>
      <c r="B201" s="590" t="s">
        <v>844</v>
      </c>
      <c r="C201" s="540"/>
      <c r="D201" s="578" t="s">
        <v>229</v>
      </c>
      <c r="E201" s="789" t="n">
        <v>46213</v>
      </c>
      <c r="F201" s="576"/>
      <c r="G201" s="575" t="n">
        <v>8</v>
      </c>
      <c r="H201" s="574"/>
      <c r="I201" s="895"/>
    </row>
    <row r="202" ht="18" customHeight="1" outlineLevel="2">
      <c r="A202" s="905"/>
      <c r="B202" s="590" t="s">
        <v>845</v>
      </c>
      <c r="C202" s="540"/>
      <c r="D202" s="578" t="s">
        <v>229</v>
      </c>
      <c r="E202" s="789" t="n">
        <v>46213</v>
      </c>
      <c r="F202" s="576"/>
      <c r="G202" s="575" t="n">
        <v>8</v>
      </c>
      <c r="H202" s="574"/>
      <c r="I202" s="895"/>
    </row>
    <row r="203" ht="18" customHeight="1" outlineLevel="2">
      <c r="A203" s="905"/>
      <c r="B203" s="590" t="s">
        <v>846</v>
      </c>
      <c r="C203" s="540"/>
      <c r="D203" s="578" t="s">
        <v>229</v>
      </c>
      <c r="E203" s="789" t="n">
        <v>46213</v>
      </c>
      <c r="F203" s="576"/>
      <c r="G203" s="575" t="n">
        <v>8</v>
      </c>
      <c r="H203" s="574"/>
      <c r="I203" s="895"/>
    </row>
    <row r="204" ht="18" customHeight="1" outlineLevel="2">
      <c r="A204" s="905"/>
      <c r="B204" s="590" t="s">
        <v>847</v>
      </c>
      <c r="C204" s="540"/>
      <c r="D204" s="578" t="s">
        <v>229</v>
      </c>
      <c r="E204" s="789" t="n">
        <v>46213</v>
      </c>
      <c r="F204" s="576"/>
      <c r="G204" s="575" t="n">
        <v>8</v>
      </c>
      <c r="H204" s="574"/>
      <c r="I204" s="895"/>
    </row>
    <row r="205" s="806" customFormat="1" ht="18" customHeight="1" outlineLevel="2">
      <c r="A205" s="906"/>
      <c r="B205" s="807" t="s">
        <v>848</v>
      </c>
      <c r="C205" s="808"/>
      <c r="D205" s="809" t="s">
        <v>229</v>
      </c>
      <c r="E205" s="810" t="n">
        <v>46213</v>
      </c>
      <c r="F205" s="810" t="n">
        <v>46211</v>
      </c>
      <c r="G205" s="811" t="n">
        <v>8</v>
      </c>
      <c r="H205" s="812"/>
      <c r="I205" s="896"/>
      <c r="J205" s="813"/>
      <c r="K205" s="813"/>
      <c r="L205" s="813"/>
      <c r="M205" s="813"/>
      <c r="N205" s="813"/>
      <c r="O205" s="813"/>
      <c r="P205" s="813"/>
      <c r="Q205" s="813"/>
      <c r="R205" s="813"/>
      <c r="S205" s="813"/>
      <c r="T205" s="813"/>
      <c r="U205" s="813"/>
      <c r="V205" s="813"/>
      <c r="W205" s="813"/>
      <c r="X205" s="813"/>
      <c r="Y205" s="813"/>
      <c r="Z205" s="813"/>
      <c r="AA205" s="813"/>
      <c r="AB205" s="813"/>
      <c r="AC205" s="813"/>
      <c r="AD205" s="813"/>
      <c r="AE205" s="813"/>
      <c r="AF205" s="813"/>
      <c r="AG205" s="813"/>
      <c r="AH205" s="813"/>
      <c r="AI205" s="813"/>
      <c r="AJ205" s="813"/>
      <c r="AK205" s="813"/>
      <c r="AL205" s="813"/>
      <c r="AM205" s="813"/>
      <c r="AN205" s="813"/>
    </row>
    <row r="206" ht="18" customHeight="1" outlineLevel="2">
      <c r="A206" s="905"/>
      <c r="B206" s="590" t="s">
        <v>849</v>
      </c>
      <c r="C206" s="540"/>
      <c r="D206" s="578" t="s">
        <v>229</v>
      </c>
      <c r="E206" s="789" t="n">
        <v>46213</v>
      </c>
      <c r="F206" s="576"/>
      <c r="G206" s="575" t="n">
        <v>8</v>
      </c>
      <c r="H206" s="574"/>
      <c r="I206" s="897"/>
    </row>
    <row r="207" s="581" customFormat="1" ht="18" customHeight="1" outlineLevel="1">
      <c r="A207" s="905"/>
      <c r="B207" s="589" t="s">
        <v>850</v>
      </c>
      <c r="C207" s="588"/>
      <c r="D207" s="587" t="s">
        <v>229</v>
      </c>
      <c r="E207" s="586" t="n">
        <v>46192</v>
      </c>
      <c r="F207" s="586" t="n">
        <v>46192</v>
      </c>
      <c r="G207" s="585" t="n">
        <v>0</v>
      </c>
      <c r="H207" s="584"/>
      <c r="I207" s="583" t="s">
        <v>840</v>
      </c>
      <c r="J207" s="582"/>
      <c r="K207" s="582"/>
      <c r="L207" s="582"/>
      <c r="M207" s="582"/>
      <c r="N207" s="582"/>
      <c r="O207" s="582"/>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row>
    <row r="208" ht="18" customHeight="1" outlineLevel="1">
      <c r="A208" s="905"/>
      <c r="B208" s="580" t="s">
        <v>851</v>
      </c>
      <c r="C208" s="579" t="s">
        <v>522</v>
      </c>
      <c r="D208" s="578" t="s">
        <v>229</v>
      </c>
      <c r="E208" s="789" t="n">
        <v>46213</v>
      </c>
      <c r="F208" s="576"/>
      <c r="G208" s="575" t="n">
        <v>0</v>
      </c>
      <c r="H208" s="574"/>
      <c r="I208" s="573"/>
    </row>
    <row r="209" ht="18" customHeight="1" outlineLevel="1">
      <c r="A209" s="905"/>
      <c r="B209" s="509" t="s">
        <v>852</v>
      </c>
      <c r="C209" s="498" t="s">
        <v>5</v>
      </c>
      <c r="D209" s="498" t="s">
        <v>5</v>
      </c>
      <c r="E209" s="784" t="s">
        <v>5</v>
      </c>
      <c r="F209" s="498" t="s">
        <v>5</v>
      </c>
      <c r="G209" s="498" t="s">
        <v>5</v>
      </c>
      <c r="H209" s="498" t="s">
        <v>5</v>
      </c>
      <c r="I209" s="498" t="s">
        <v>5</v>
      </c>
    </row>
    <row r="210" ht="18" customHeight="1" outlineLevel="2">
      <c r="A210" s="905"/>
      <c r="B210" s="512" t="s">
        <v>853</v>
      </c>
      <c r="C210" s="541"/>
      <c r="D210" s="495" t="s">
        <v>229</v>
      </c>
      <c r="E210" s="792" t="n">
        <v>46213</v>
      </c>
      <c r="F210" s="537"/>
      <c r="G210" s="506" t="n">
        <v>8</v>
      </c>
      <c r="H210" s="544"/>
      <c r="I210" s="543"/>
    </row>
    <row r="211" ht="18" customHeight="1" outlineLevel="2">
      <c r="A211" s="905"/>
      <c r="B211" s="512" t="s">
        <v>847</v>
      </c>
      <c r="C211" s="541"/>
      <c r="D211" s="495" t="s">
        <v>229</v>
      </c>
      <c r="E211" s="792" t="n">
        <v>46215</v>
      </c>
      <c r="F211" s="537"/>
      <c r="G211" s="506" t="n">
        <v>8</v>
      </c>
      <c r="H211" s="544"/>
      <c r="I211" s="543"/>
    </row>
    <row r="212" ht="18" customHeight="1" outlineLevel="2">
      <c r="A212" s="905"/>
      <c r="B212" s="572" t="s">
        <v>848</v>
      </c>
      <c r="C212" s="541"/>
      <c r="D212" s="495" t="s">
        <v>229</v>
      </c>
      <c r="E212" s="792" t="n">
        <v>46216</v>
      </c>
      <c r="F212" s="537"/>
      <c r="G212" s="506" t="n">
        <v>8</v>
      </c>
      <c r="H212" s="536"/>
      <c r="I212" s="540"/>
    </row>
    <row r="213" ht="18" customHeight="1">
      <c r="A213" s="905"/>
      <c r="B213" s="563" t="s">
        <v>854</v>
      </c>
      <c r="C213" s="496" t="s">
        <v>522</v>
      </c>
      <c r="D213" s="495" t="s">
        <v>229</v>
      </c>
      <c r="E213" s="792" t="n">
        <v>46216</v>
      </c>
      <c r="F213" s="537"/>
      <c r="G213" s="506" t="n">
        <v>8</v>
      </c>
      <c r="H213" s="536"/>
      <c r="I213" s="535"/>
    </row>
    <row r="214" ht="18" customHeight="1" outlineLevel="1">
      <c r="A214" s="905"/>
      <c r="B214" s="509" t="s">
        <v>855</v>
      </c>
      <c r="C214" s="498" t="s">
        <v>5</v>
      </c>
      <c r="D214" s="498" t="s">
        <v>5</v>
      </c>
      <c r="E214" s="784" t="s">
        <v>5</v>
      </c>
      <c r="F214" s="498" t="s">
        <v>5</v>
      </c>
      <c r="G214" s="498" t="s">
        <v>5</v>
      </c>
      <c r="H214" s="498" t="s">
        <v>5</v>
      </c>
      <c r="I214" s="550" t="s">
        <v>5</v>
      </c>
    </row>
    <row r="215" ht="28.5" customHeight="1" outlineLevel="2">
      <c r="A215" s="905"/>
      <c r="B215" s="512" t="s">
        <v>856</v>
      </c>
      <c r="C215" s="571"/>
      <c r="D215" s="530" t="s">
        <v>857</v>
      </c>
      <c r="E215" s="792" t="n">
        <v>46218</v>
      </c>
      <c r="F215" s="537"/>
      <c r="G215" s="506" t="n">
        <v>8</v>
      </c>
      <c r="H215" s="536"/>
      <c r="I215" s="570" t="s">
        <v>858</v>
      </c>
    </row>
    <row r="216" ht="18" customHeight="1" outlineLevel="2">
      <c r="A216" s="905"/>
      <c r="B216" s="512" t="s">
        <v>859</v>
      </c>
      <c r="C216" s="569"/>
      <c r="D216" s="530" t="s">
        <v>249</v>
      </c>
      <c r="E216" s="792" t="n">
        <v>46218</v>
      </c>
      <c r="F216" s="511"/>
      <c r="G216" s="506" t="n">
        <v>8</v>
      </c>
      <c r="H216" s="488"/>
      <c r="I216" s="500"/>
    </row>
    <row r="217" ht="18" customHeight="1" outlineLevel="1">
      <c r="A217" s="905"/>
      <c r="B217" s="563" t="s">
        <v>860</v>
      </c>
      <c r="C217" s="496" t="s">
        <v>522</v>
      </c>
      <c r="D217" s="530" t="s">
        <v>861</v>
      </c>
      <c r="E217" s="792" t="n">
        <v>46218</v>
      </c>
      <c r="F217" s="537"/>
      <c r="G217" s="506" t="n">
        <v>8</v>
      </c>
      <c r="H217" s="536"/>
      <c r="I217" s="535"/>
    </row>
    <row r="218" ht="18" customHeight="1" outlineLevel="1">
      <c r="A218" s="905"/>
      <c r="B218" s="509" t="s">
        <v>862</v>
      </c>
      <c r="C218" s="498" t="s">
        <v>5</v>
      </c>
      <c r="D218" s="498" t="s">
        <v>5</v>
      </c>
      <c r="E218" s="784" t="s">
        <v>5</v>
      </c>
      <c r="F218" s="498" t="s">
        <v>5</v>
      </c>
      <c r="G218" s="498" t="s">
        <v>5</v>
      </c>
      <c r="H218" s="498" t="s">
        <v>5</v>
      </c>
      <c r="I218" s="498" t="s">
        <v>5</v>
      </c>
    </row>
    <row r="219" ht="18" customHeight="1" outlineLevel="2">
      <c r="A219" s="905"/>
      <c r="B219" s="512" t="s">
        <v>621</v>
      </c>
      <c r="C219" s="569"/>
      <c r="D219" s="530" t="s">
        <v>249</v>
      </c>
      <c r="E219" s="785" t="n">
        <v>46218</v>
      </c>
      <c r="F219" s="511"/>
      <c r="G219" s="506" t="n">
        <v>16</v>
      </c>
      <c r="H219" s="488"/>
      <c r="I219" s="500"/>
    </row>
    <row r="220" ht="18" customHeight="1" outlineLevel="2">
      <c r="A220" s="905"/>
      <c r="B220" s="512" t="s">
        <v>623</v>
      </c>
      <c r="C220" s="533"/>
      <c r="D220" s="530" t="s">
        <v>229</v>
      </c>
      <c r="E220" s="785" t="n">
        <v>46218</v>
      </c>
      <c r="F220" s="511"/>
      <c r="G220" s="492" t="n">
        <v>8</v>
      </c>
      <c r="H220" s="488"/>
      <c r="I220" s="501"/>
    </row>
    <row r="221" ht="18" customHeight="1" outlineLevel="2">
      <c r="A221" s="905"/>
      <c r="B221" s="512" t="s">
        <v>863</v>
      </c>
      <c r="C221" s="533"/>
      <c r="D221" s="530" t="s">
        <v>229</v>
      </c>
      <c r="E221" s="785" t="n">
        <v>46218</v>
      </c>
      <c r="F221" s="511"/>
      <c r="G221" s="492" t="n">
        <v>3</v>
      </c>
      <c r="H221" s="488"/>
      <c r="I221" s="500"/>
    </row>
    <row r="222" ht="18" customHeight="1" outlineLevel="1">
      <c r="A222" s="905"/>
      <c r="B222" s="563" t="s">
        <v>864</v>
      </c>
      <c r="C222" s="562" t="s">
        <v>522</v>
      </c>
      <c r="D222" s="530" t="s">
        <v>229</v>
      </c>
      <c r="E222" s="785" t="n">
        <v>46218</v>
      </c>
      <c r="F222" s="511"/>
      <c r="G222" s="492" t="n">
        <v>0</v>
      </c>
      <c r="H222" s="488"/>
      <c r="I222" s="500"/>
    </row>
    <row r="223" ht="18" customHeight="1" outlineLevel="1">
      <c r="A223" s="905"/>
      <c r="B223" s="563" t="s">
        <v>865</v>
      </c>
      <c r="C223" s="562" t="s">
        <v>522</v>
      </c>
      <c r="D223" s="530" t="s">
        <v>229</v>
      </c>
      <c r="E223" s="785" t="n">
        <v>46218</v>
      </c>
      <c r="F223" s="511"/>
      <c r="G223" s="492" t="n">
        <v>0</v>
      </c>
      <c r="H223" s="488"/>
      <c r="I223" s="500"/>
    </row>
    <row r="224" ht="18" customHeight="1" outlineLevel="1">
      <c r="A224" s="905"/>
      <c r="B224" s="509" t="s">
        <v>866</v>
      </c>
      <c r="C224" s="568" t="s">
        <v>5</v>
      </c>
      <c r="D224" s="568" t="s">
        <v>5</v>
      </c>
      <c r="E224" s="655" t="s">
        <v>5</v>
      </c>
      <c r="F224" s="568" t="s">
        <v>5</v>
      </c>
      <c r="G224" s="568" t="s">
        <v>5</v>
      </c>
      <c r="H224" s="568" t="s">
        <v>5</v>
      </c>
      <c r="I224" s="567" t="s">
        <v>5</v>
      </c>
    </row>
    <row r="225" ht="18" customHeight="1" outlineLevel="2">
      <c r="A225" s="905"/>
      <c r="B225" s="512" t="s">
        <v>728</v>
      </c>
      <c r="C225" s="503"/>
      <c r="D225" s="506" t="s">
        <v>518</v>
      </c>
      <c r="E225" s="785" t="n">
        <v>46254</v>
      </c>
      <c r="F225" s="511"/>
      <c r="G225" s="492" t="n">
        <v>40</v>
      </c>
      <c r="H225" s="559"/>
      <c r="I225" s="558"/>
    </row>
    <row r="226" ht="18" customHeight="1" outlineLevel="2">
      <c r="A226" s="905"/>
      <c r="B226" s="549" t="s">
        <v>808</v>
      </c>
      <c r="C226" s="530"/>
      <c r="D226" s="561" t="s">
        <v>777</v>
      </c>
      <c r="E226" s="785" t="n">
        <v>46256</v>
      </c>
      <c r="F226" s="566"/>
      <c r="G226" s="546" t="n">
        <v>8</v>
      </c>
      <c r="H226" s="559"/>
      <c r="I226" s="558"/>
    </row>
    <row r="227" ht="18" customHeight="1" outlineLevel="2">
      <c r="A227" s="905"/>
      <c r="B227" s="549" t="s">
        <v>809</v>
      </c>
      <c r="C227" s="530"/>
      <c r="D227" s="561" t="s">
        <v>777</v>
      </c>
      <c r="E227" s="785" t="n">
        <v>46256</v>
      </c>
      <c r="F227" s="566"/>
      <c r="G227" s="546" t="n">
        <v>8</v>
      </c>
      <c r="H227" s="559"/>
      <c r="I227" s="558"/>
    </row>
    <row r="228" ht="18" customHeight="1" outlineLevel="2">
      <c r="A228" s="905"/>
      <c r="B228" s="549" t="s">
        <v>810</v>
      </c>
      <c r="C228" s="495"/>
      <c r="D228" s="561" t="s">
        <v>777</v>
      </c>
      <c r="E228" s="785" t="n">
        <v>46256</v>
      </c>
      <c r="F228" s="566"/>
      <c r="G228" s="546" t="n">
        <v>8</v>
      </c>
      <c r="H228" s="559"/>
      <c r="I228" s="558"/>
    </row>
    <row r="229" ht="18" customHeight="1" outlineLevel="2">
      <c r="A229" s="905"/>
      <c r="B229" s="549" t="s">
        <v>811</v>
      </c>
      <c r="C229" s="530"/>
      <c r="D229" s="561" t="s">
        <v>777</v>
      </c>
      <c r="E229" s="785" t="n">
        <v>46256</v>
      </c>
      <c r="F229" s="565"/>
      <c r="G229" s="546" t="n">
        <v>8</v>
      </c>
      <c r="H229" s="559"/>
      <c r="I229" s="558"/>
    </row>
    <row r="230" ht="18" customHeight="1" outlineLevel="2">
      <c r="A230" s="905"/>
      <c r="B230" s="549" t="s">
        <v>813</v>
      </c>
      <c r="C230" s="496"/>
      <c r="D230" s="561" t="s">
        <v>777</v>
      </c>
      <c r="E230" s="785" t="n">
        <v>46256</v>
      </c>
      <c r="F230" s="560"/>
      <c r="G230" s="546" t="n">
        <v>8</v>
      </c>
      <c r="H230" s="559"/>
      <c r="I230" s="558"/>
    </row>
    <row r="231" ht="18" customHeight="1" outlineLevel="2">
      <c r="A231" s="905"/>
      <c r="B231" s="549" t="s">
        <v>867</v>
      </c>
      <c r="C231" s="496"/>
      <c r="D231" s="561" t="s">
        <v>777</v>
      </c>
      <c r="E231" s="785" t="n">
        <v>46256</v>
      </c>
      <c r="F231" s="560"/>
      <c r="G231" s="546" t="n">
        <v>8</v>
      </c>
      <c r="H231" s="559"/>
      <c r="I231" s="558"/>
    </row>
    <row r="232" ht="18" customHeight="1" outlineLevel="1">
      <c r="A232" s="905"/>
      <c r="B232" s="497" t="s">
        <v>868</v>
      </c>
      <c r="C232" s="496" t="s">
        <v>522</v>
      </c>
      <c r="D232" s="506" t="s">
        <v>518</v>
      </c>
      <c r="E232" s="785" t="n">
        <v>46249</v>
      </c>
      <c r="F232" s="493"/>
      <c r="G232" s="492" t="n">
        <v>0</v>
      </c>
      <c r="H232" s="491"/>
      <c r="I232" s="564"/>
    </row>
    <row r="233" ht="18" customHeight="1" outlineLevel="1">
      <c r="A233" s="905"/>
      <c r="B233" s="497" t="s">
        <v>869</v>
      </c>
      <c r="C233" s="496" t="s">
        <v>522</v>
      </c>
      <c r="D233" s="506" t="s">
        <v>518</v>
      </c>
      <c r="E233" s="785" t="n">
        <v>46254</v>
      </c>
      <c r="F233" s="493"/>
      <c r="G233" s="492" t="n">
        <v>0</v>
      </c>
      <c r="H233" s="491"/>
      <c r="I233" s="564"/>
    </row>
    <row r="234" ht="18" customHeight="1" outlineLevel="1">
      <c r="A234" s="905"/>
      <c r="B234" s="563" t="s">
        <v>870</v>
      </c>
      <c r="C234" s="562" t="s">
        <v>522</v>
      </c>
      <c r="D234" s="561" t="s">
        <v>777</v>
      </c>
      <c r="E234" s="785" t="n">
        <v>46256</v>
      </c>
      <c r="F234" s="560"/>
      <c r="G234" s="546" t="n">
        <v>0</v>
      </c>
      <c r="H234" s="559"/>
      <c r="I234" s="558"/>
    </row>
    <row r="235" ht="18" customHeight="1" outlineLevel="1">
      <c r="A235" s="905"/>
      <c r="B235" s="517" t="s">
        <v>871</v>
      </c>
      <c r="C235" s="498" t="s">
        <v>5</v>
      </c>
      <c r="D235" s="498" t="s">
        <v>5</v>
      </c>
      <c r="E235" s="784" t="s">
        <v>5</v>
      </c>
      <c r="F235" s="498" t="s">
        <v>5</v>
      </c>
      <c r="G235" s="498" t="s">
        <v>5</v>
      </c>
      <c r="H235" s="498" t="s">
        <v>5</v>
      </c>
      <c r="I235" s="498" t="s">
        <v>5</v>
      </c>
    </row>
    <row r="236" ht="18" customHeight="1" outlineLevel="2">
      <c r="A236" s="905"/>
      <c r="B236" s="505" t="s">
        <v>872</v>
      </c>
      <c r="C236" s="503"/>
      <c r="D236" s="506" t="s">
        <v>873</v>
      </c>
      <c r="E236" s="792" t="n">
        <v>46280</v>
      </c>
      <c r="F236" s="556"/>
      <c r="G236" s="506" t="n">
        <v>8</v>
      </c>
      <c r="H236" s="555"/>
      <c r="I236" s="551"/>
    </row>
    <row r="237" ht="18" customHeight="1" outlineLevel="2">
      <c r="A237" s="905"/>
      <c r="B237" s="505" t="s">
        <v>784</v>
      </c>
      <c r="C237" s="503"/>
      <c r="D237" s="506" t="s">
        <v>873</v>
      </c>
      <c r="E237" s="792" t="n">
        <v>46280</v>
      </c>
      <c r="F237" s="556"/>
      <c r="G237" s="506" t="n">
        <v>8</v>
      </c>
      <c r="H237" s="555"/>
      <c r="I237" s="551"/>
    </row>
    <row r="238" ht="18" customHeight="1" outlineLevel="2">
      <c r="A238" s="905"/>
      <c r="B238" s="512" t="s">
        <v>874</v>
      </c>
      <c r="C238" s="503"/>
      <c r="D238" s="506" t="s">
        <v>873</v>
      </c>
      <c r="E238" s="792" t="n">
        <v>46280</v>
      </c>
      <c r="F238" s="556"/>
      <c r="G238" s="506" t="n">
        <v>8</v>
      </c>
      <c r="H238" s="555"/>
      <c r="I238" s="503" t="s">
        <v>875</v>
      </c>
    </row>
    <row r="239" ht="18" customHeight="1" outlineLevel="2">
      <c r="A239" s="905"/>
      <c r="B239" s="512" t="s">
        <v>785</v>
      </c>
      <c r="C239" s="503"/>
      <c r="D239" s="506" t="s">
        <v>873</v>
      </c>
      <c r="E239" s="792" t="n">
        <v>46280</v>
      </c>
      <c r="F239" s="556"/>
      <c r="G239" s="506" t="n">
        <v>8</v>
      </c>
      <c r="H239" s="555"/>
      <c r="I239" s="551"/>
    </row>
    <row r="240" ht="28.5" customHeight="1" outlineLevel="2">
      <c r="A240" s="905"/>
      <c r="B240" s="505" t="s">
        <v>876</v>
      </c>
      <c r="C240" s="503"/>
      <c r="D240" s="506" t="s">
        <v>873</v>
      </c>
      <c r="E240" s="792" t="n">
        <v>46280</v>
      </c>
      <c r="F240" s="556"/>
      <c r="G240" s="506" t="n">
        <v>8</v>
      </c>
      <c r="H240" s="555"/>
      <c r="I240" s="503" t="s">
        <v>877</v>
      </c>
    </row>
    <row r="241" ht="18" customHeight="1" outlineLevel="2">
      <c r="A241" s="905"/>
      <c r="B241" s="505" t="s">
        <v>878</v>
      </c>
      <c r="C241" s="503"/>
      <c r="D241" s="506" t="s">
        <v>873</v>
      </c>
      <c r="E241" s="792" t="n">
        <v>46280</v>
      </c>
      <c r="F241" s="556"/>
      <c r="G241" s="506" t="n">
        <v>8</v>
      </c>
      <c r="H241" s="555"/>
      <c r="I241" s="551"/>
    </row>
    <row r="242" ht="18" customHeight="1" outlineLevel="2">
      <c r="A242" s="905"/>
      <c r="B242" s="505" t="s">
        <v>879</v>
      </c>
      <c r="C242" s="503"/>
      <c r="D242" s="506" t="s">
        <v>873</v>
      </c>
      <c r="E242" s="792" t="n">
        <v>46280</v>
      </c>
      <c r="F242" s="556"/>
      <c r="G242" s="506" t="n">
        <v>8</v>
      </c>
      <c r="H242" s="555"/>
      <c r="I242" s="551"/>
    </row>
    <row r="243" ht="18" customHeight="1" outlineLevel="2">
      <c r="A243" s="905"/>
      <c r="B243" s="505" t="s">
        <v>880</v>
      </c>
      <c r="C243" s="503"/>
      <c r="D243" s="506" t="s">
        <v>873</v>
      </c>
      <c r="E243" s="792" t="n">
        <v>46280</v>
      </c>
      <c r="F243" s="556"/>
      <c r="G243" s="506" t="n">
        <v>8</v>
      </c>
      <c r="H243" s="555"/>
      <c r="I243" s="551"/>
    </row>
    <row r="244" ht="18" customHeight="1" outlineLevel="2">
      <c r="A244" s="905"/>
      <c r="B244" s="505" t="s">
        <v>881</v>
      </c>
      <c r="C244" s="557"/>
      <c r="D244" s="506" t="s">
        <v>873</v>
      </c>
      <c r="E244" s="792" t="n">
        <v>46280</v>
      </c>
      <c r="F244" s="556"/>
      <c r="G244" s="506" t="n">
        <v>8</v>
      </c>
      <c r="H244" s="555"/>
      <c r="I244" s="551"/>
    </row>
    <row r="245" ht="18" customHeight="1" outlineLevel="2">
      <c r="A245" s="905"/>
      <c r="B245" s="505" t="s">
        <v>882</v>
      </c>
      <c r="C245" s="503"/>
      <c r="D245" s="506" t="s">
        <v>873</v>
      </c>
      <c r="E245" s="792" t="n">
        <v>46280</v>
      </c>
      <c r="F245" s="503"/>
      <c r="G245" s="506" t="n">
        <v>8</v>
      </c>
      <c r="H245" s="506"/>
      <c r="I245" s="551"/>
    </row>
    <row r="246" ht="18" customHeight="1">
      <c r="A246" s="905"/>
      <c r="B246" s="554" t="s">
        <v>883</v>
      </c>
      <c r="C246" s="496" t="s">
        <v>522</v>
      </c>
      <c r="D246" s="506" t="s">
        <v>873</v>
      </c>
      <c r="E246" s="792" t="n">
        <v>46280</v>
      </c>
      <c r="F246" s="553"/>
      <c r="G246" s="552" t="n">
        <v>0</v>
      </c>
      <c r="H246" s="552"/>
      <c r="I246" s="551"/>
    </row>
    <row r="247" ht="18" customHeight="1" outlineLevel="1">
      <c r="A247" s="905"/>
      <c r="B247" s="509" t="s">
        <v>884</v>
      </c>
      <c r="C247" s="498" t="s">
        <v>5</v>
      </c>
      <c r="D247" s="498" t="s">
        <v>5</v>
      </c>
      <c r="E247" s="784" t="s">
        <v>5</v>
      </c>
      <c r="F247" s="498" t="s">
        <v>5</v>
      </c>
      <c r="G247" s="498" t="s">
        <v>5</v>
      </c>
      <c r="H247" s="498" t="s">
        <v>5</v>
      </c>
      <c r="I247" s="550" t="s">
        <v>5</v>
      </c>
    </row>
    <row r="248" ht="18" customHeight="1" outlineLevel="2">
      <c r="A248" s="905"/>
      <c r="B248" s="549" t="s">
        <v>885</v>
      </c>
      <c r="C248" s="530"/>
      <c r="D248" s="530" t="s">
        <v>417</v>
      </c>
      <c r="E248" s="795" t="n">
        <v>46257</v>
      </c>
      <c r="F248" s="547"/>
      <c r="G248" s="546" t="n">
        <v>40</v>
      </c>
      <c r="H248" s="548"/>
      <c r="I248" s="545"/>
    </row>
    <row r="249" ht="18" customHeight="1" outlineLevel="2">
      <c r="A249" s="905"/>
      <c r="B249" s="549" t="s">
        <v>573</v>
      </c>
      <c r="C249" s="530"/>
      <c r="D249" s="530" t="s">
        <v>417</v>
      </c>
      <c r="E249" s="795" t="n">
        <v>46257</v>
      </c>
      <c r="F249" s="547"/>
      <c r="G249" s="546" t="n">
        <v>16</v>
      </c>
      <c r="H249" s="548"/>
      <c r="I249" s="545"/>
    </row>
    <row r="250" ht="18" customHeight="1" outlineLevel="1">
      <c r="A250" s="905"/>
      <c r="B250" s="532" t="s">
        <v>886</v>
      </c>
      <c r="C250" s="496" t="s">
        <v>522</v>
      </c>
      <c r="D250" s="530" t="s">
        <v>417</v>
      </c>
      <c r="E250" s="795" t="n">
        <v>46257</v>
      </c>
      <c r="F250" s="547"/>
      <c r="G250" s="546" t="n">
        <v>0</v>
      </c>
      <c r="H250" s="546"/>
      <c r="I250" s="545"/>
    </row>
    <row r="251" ht="18" customHeight="1" outlineLevel="1">
      <c r="A251" s="905"/>
      <c r="B251" s="509" t="s">
        <v>887</v>
      </c>
      <c r="C251" s="498" t="s">
        <v>5</v>
      </c>
      <c r="D251" s="498" t="s">
        <v>5</v>
      </c>
      <c r="E251" s="784" t="s">
        <v>5</v>
      </c>
      <c r="F251" s="498" t="s">
        <v>5</v>
      </c>
      <c r="G251" s="498" t="s">
        <v>5</v>
      </c>
      <c r="H251" s="498" t="s">
        <v>5</v>
      </c>
      <c r="I251" s="498" t="s">
        <v>5</v>
      </c>
    </row>
    <row r="252" ht="18" customHeight="1" outlineLevel="2">
      <c r="A252" s="905"/>
      <c r="B252" s="512" t="s">
        <v>888</v>
      </c>
      <c r="C252" s="541"/>
      <c r="D252" s="495" t="s">
        <v>229</v>
      </c>
      <c r="E252" s="795" t="n">
        <v>46264</v>
      </c>
      <c r="F252" s="537"/>
      <c r="G252" s="506" t="n">
        <v>8</v>
      </c>
      <c r="H252" s="544"/>
      <c r="I252" s="543"/>
    </row>
    <row r="253" ht="18" customHeight="1" outlineLevel="2">
      <c r="A253" s="905"/>
      <c r="B253" s="512" t="s">
        <v>889</v>
      </c>
      <c r="C253" s="541"/>
      <c r="D253" s="495" t="s">
        <v>229</v>
      </c>
      <c r="E253" s="792" t="n">
        <v>46310</v>
      </c>
      <c r="F253" s="537"/>
      <c r="G253" s="506" t="n">
        <v>8</v>
      </c>
      <c r="H253" s="544"/>
      <c r="I253" s="543"/>
    </row>
    <row r="254" ht="18" customHeight="1" outlineLevel="2">
      <c r="A254" s="905"/>
      <c r="B254" s="542" t="s">
        <v>890</v>
      </c>
      <c r="C254" s="541"/>
      <c r="D254" s="495" t="s">
        <v>229</v>
      </c>
      <c r="E254" s="792" t="n">
        <v>46325</v>
      </c>
      <c r="F254" s="537"/>
      <c r="G254" s="506" t="n">
        <v>8</v>
      </c>
      <c r="H254" s="536"/>
      <c r="I254" s="540"/>
    </row>
    <row r="255" ht="18" customHeight="1">
      <c r="A255" s="905"/>
      <c r="B255" s="539" t="s">
        <v>891</v>
      </c>
      <c r="C255" s="538" t="s">
        <v>522</v>
      </c>
      <c r="D255" s="495" t="s">
        <v>229</v>
      </c>
      <c r="E255" s="792" t="n">
        <v>46325</v>
      </c>
      <c r="F255" s="537"/>
      <c r="G255" s="506" t="n">
        <v>8</v>
      </c>
      <c r="H255" s="536"/>
      <c r="I255" s="535"/>
    </row>
    <row r="256" ht="18" customHeight="1" outlineLevel="1">
      <c r="A256" s="905"/>
      <c r="B256" s="534" t="s">
        <v>892</v>
      </c>
      <c r="C256" s="498" t="s">
        <v>5</v>
      </c>
      <c r="D256" s="498" t="s">
        <v>5</v>
      </c>
      <c r="E256" s="784" t="s">
        <v>5</v>
      </c>
      <c r="F256" s="498" t="s">
        <v>5</v>
      </c>
      <c r="G256" s="498" t="s">
        <v>5</v>
      </c>
      <c r="H256" s="498" t="s">
        <v>5</v>
      </c>
      <c r="I256" s="498" t="s">
        <v>5</v>
      </c>
    </row>
    <row r="257" ht="27" customHeight="1" outlineLevel="2">
      <c r="A257" s="905"/>
      <c r="B257" s="508" t="s">
        <v>893</v>
      </c>
      <c r="C257" s="533"/>
      <c r="D257" s="530" t="s">
        <v>417</v>
      </c>
      <c r="E257" s="785" t="s">
        <v>278</v>
      </c>
      <c r="F257" s="494"/>
      <c r="G257" s="492" t="n">
        <v>16</v>
      </c>
      <c r="H257" s="492"/>
      <c r="I257" s="531" t="s">
        <v>894</v>
      </c>
    </row>
    <row r="258" ht="18" customHeight="1" outlineLevel="2">
      <c r="A258" s="905"/>
      <c r="B258" s="508" t="s">
        <v>895</v>
      </c>
      <c r="C258" s="533"/>
      <c r="D258" s="530" t="s">
        <v>417</v>
      </c>
      <c r="E258" s="785" t="s">
        <v>278</v>
      </c>
      <c r="F258" s="494"/>
      <c r="G258" s="492" t="n">
        <v>16</v>
      </c>
      <c r="H258" s="492"/>
      <c r="I258" s="531"/>
    </row>
    <row r="259" ht="40.5" customHeight="1" outlineLevel="1">
      <c r="A259" s="905"/>
      <c r="B259" s="532" t="s">
        <v>896</v>
      </c>
      <c r="C259" s="496" t="s">
        <v>522</v>
      </c>
      <c r="D259" s="530" t="s">
        <v>897</v>
      </c>
      <c r="E259" s="785" t="s">
        <v>898</v>
      </c>
      <c r="F259" s="494"/>
      <c r="G259" s="492"/>
      <c r="H259" s="492"/>
      <c r="I259" s="531" t="s">
        <v>899</v>
      </c>
    </row>
    <row r="260" ht="40.5" customHeight="1" outlineLevel="1">
      <c r="A260" s="905"/>
      <c r="B260" s="497" t="s">
        <v>900</v>
      </c>
      <c r="C260" s="496" t="s">
        <v>522</v>
      </c>
      <c r="D260" s="530" t="s">
        <v>829</v>
      </c>
      <c r="E260" s="785" t="s">
        <v>901</v>
      </c>
      <c r="F260" s="511"/>
      <c r="G260" s="492" t="n">
        <v>40</v>
      </c>
      <c r="H260" s="488"/>
      <c r="I260" s="531" t="s">
        <v>902</v>
      </c>
    </row>
    <row r="261" ht="18" customHeight="1" outlineLevel="1">
      <c r="A261" s="905"/>
      <c r="B261" s="497" t="s">
        <v>903</v>
      </c>
      <c r="C261" s="496" t="s">
        <v>522</v>
      </c>
      <c r="D261" s="530" t="s">
        <v>904</v>
      </c>
      <c r="E261" s="785" t="s">
        <v>898</v>
      </c>
      <c r="F261" s="511"/>
      <c r="G261" s="492"/>
      <c r="H261" s="488"/>
      <c r="I261" s="501"/>
    </row>
    <row r="262" ht="18" customHeight="1">
      <c r="A262" s="905"/>
      <c r="B262" s="497" t="s">
        <v>905</v>
      </c>
      <c r="C262" s="496" t="s">
        <v>522</v>
      </c>
      <c r="D262" s="530" t="s">
        <v>314</v>
      </c>
      <c r="E262" s="785" t="s">
        <v>898</v>
      </c>
      <c r="F262" s="511"/>
      <c r="G262" s="492"/>
      <c r="H262" s="488"/>
      <c r="I262" s="501"/>
    </row>
    <row r="263" ht="18" customHeight="1" outlineLevel="1">
      <c r="A263" s="905"/>
      <c r="B263" s="517" t="s">
        <v>906</v>
      </c>
      <c r="C263" s="498" t="s">
        <v>5</v>
      </c>
      <c r="D263" s="498" t="s">
        <v>5</v>
      </c>
      <c r="E263" s="784" t="s">
        <v>5</v>
      </c>
      <c r="F263" s="498" t="s">
        <v>5</v>
      </c>
      <c r="G263" s="498" t="s">
        <v>5</v>
      </c>
      <c r="H263" s="498" t="s">
        <v>5</v>
      </c>
      <c r="I263" s="498" t="s">
        <v>5</v>
      </c>
    </row>
    <row r="264" ht="18" customHeight="1" outlineLevel="2">
      <c r="A264" s="905"/>
      <c r="B264" s="512" t="s">
        <v>907</v>
      </c>
      <c r="C264" s="503"/>
      <c r="D264" s="506" t="s">
        <v>518</v>
      </c>
      <c r="E264" s="795" t="n">
        <v>46254</v>
      </c>
      <c r="F264" s="494"/>
      <c r="G264" s="492" t="n">
        <v>3</v>
      </c>
      <c r="H264" s="488"/>
      <c r="I264" s="500" t="s">
        <v>908</v>
      </c>
    </row>
    <row r="265" ht="18" customHeight="1" outlineLevel="2">
      <c r="A265" s="905"/>
      <c r="B265" s="505" t="s">
        <v>909</v>
      </c>
      <c r="C265" s="503"/>
      <c r="D265" s="506" t="s">
        <v>910</v>
      </c>
      <c r="E265" s="795" t="n">
        <v>46254</v>
      </c>
      <c r="F265" s="494"/>
      <c r="G265" s="492" t="n">
        <v>4</v>
      </c>
      <c r="H265" s="488"/>
      <c r="I265" s="500"/>
    </row>
    <row r="266" ht="18" customHeight="1" outlineLevel="1">
      <c r="A266" s="905"/>
      <c r="B266" s="497" t="s">
        <v>911</v>
      </c>
      <c r="C266" s="496" t="s">
        <v>522</v>
      </c>
      <c r="D266" s="495" t="s">
        <v>518</v>
      </c>
      <c r="E266" s="795" t="n">
        <v>46254</v>
      </c>
      <c r="F266" s="494"/>
      <c r="G266" s="492" t="n">
        <v>0</v>
      </c>
      <c r="H266" s="488"/>
      <c r="I266" s="500"/>
    </row>
    <row r="267" ht="18" customHeight="1" outlineLevel="1">
      <c r="A267" s="905"/>
      <c r="B267" s="517" t="s">
        <v>912</v>
      </c>
      <c r="C267" s="498" t="s">
        <v>5</v>
      </c>
      <c r="D267" s="498" t="s">
        <v>5</v>
      </c>
      <c r="E267" s="784" t="s">
        <v>5</v>
      </c>
      <c r="F267" s="498" t="s">
        <v>5</v>
      </c>
      <c r="G267" s="498" t="s">
        <v>5</v>
      </c>
      <c r="H267" s="498" t="s">
        <v>5</v>
      </c>
      <c r="I267" s="498" t="s">
        <v>5</v>
      </c>
    </row>
    <row r="268" ht="18" customHeight="1" outlineLevel="2">
      <c r="A268" s="905"/>
      <c r="B268" s="512" t="s">
        <v>645</v>
      </c>
      <c r="C268" s="529"/>
      <c r="D268" s="495" t="s">
        <v>229</v>
      </c>
      <c r="E268" s="785" t="n">
        <v>46275</v>
      </c>
      <c r="F268" s="494"/>
      <c r="G268" s="492" t="n">
        <v>2</v>
      </c>
      <c r="H268" s="527"/>
      <c r="I268" s="500"/>
    </row>
    <row r="269" ht="18" customHeight="1" outlineLevel="2">
      <c r="A269" s="905"/>
      <c r="B269" s="528" t="s">
        <v>647</v>
      </c>
      <c r="C269" s="503"/>
      <c r="D269" s="495" t="s">
        <v>229</v>
      </c>
      <c r="E269" s="785" t="n">
        <v>46275</v>
      </c>
      <c r="F269" s="494"/>
      <c r="G269" s="492" t="n">
        <v>2</v>
      </c>
      <c r="H269" s="527"/>
      <c r="I269" s="500"/>
    </row>
    <row r="270" ht="18" customHeight="1" outlineLevel="2">
      <c r="A270" s="905"/>
      <c r="B270" s="504" t="s">
        <v>913</v>
      </c>
      <c r="C270" s="503"/>
      <c r="D270" s="506" t="s">
        <v>518</v>
      </c>
      <c r="E270" s="785" t="n">
        <v>46275</v>
      </c>
      <c r="F270" s="494"/>
      <c r="G270" s="492" t="n">
        <v>8</v>
      </c>
      <c r="H270" s="527"/>
      <c r="I270" s="500"/>
    </row>
    <row r="271" ht="18" customHeight="1" outlineLevel="2">
      <c r="A271" s="905"/>
      <c r="B271" s="505" t="s">
        <v>914</v>
      </c>
      <c r="C271" s="503"/>
      <c r="D271" s="506" t="s">
        <v>518</v>
      </c>
      <c r="E271" s="785" t="n">
        <v>46275</v>
      </c>
      <c r="F271" s="494"/>
      <c r="G271" s="492" t="n">
        <v>2</v>
      </c>
      <c r="H271" s="527"/>
      <c r="I271" s="500"/>
    </row>
    <row r="272" ht="18" customHeight="1" outlineLevel="2">
      <c r="A272" s="905"/>
      <c r="B272" s="505" t="s">
        <v>915</v>
      </c>
      <c r="C272" s="503"/>
      <c r="D272" s="506" t="s">
        <v>916</v>
      </c>
      <c r="E272" s="785" t="n">
        <v>46275</v>
      </c>
      <c r="F272" s="494"/>
      <c r="G272" s="492" t="n">
        <v>4</v>
      </c>
      <c r="H272" s="527"/>
      <c r="I272" s="500"/>
    </row>
    <row r="273" ht="18" customHeight="1" outlineLevel="1">
      <c r="A273" s="905"/>
      <c r="B273" s="497" t="s">
        <v>917</v>
      </c>
      <c r="C273" s="496" t="s">
        <v>522</v>
      </c>
      <c r="D273" s="495" t="s">
        <v>918</v>
      </c>
      <c r="E273" s="785" t="n">
        <v>46275</v>
      </c>
      <c r="F273" s="494"/>
      <c r="G273" s="492" t="n">
        <v>0</v>
      </c>
      <c r="H273" s="527"/>
      <c r="I273" s="488"/>
    </row>
    <row r="274" ht="18" customHeight="1" outlineLevel="1">
      <c r="A274" s="905"/>
      <c r="B274" s="509" t="s">
        <v>656</v>
      </c>
      <c r="C274" s="498" t="s">
        <v>5</v>
      </c>
      <c r="D274" s="498" t="s">
        <v>5</v>
      </c>
      <c r="E274" s="784" t="s">
        <v>5</v>
      </c>
      <c r="F274" s="498" t="s">
        <v>5</v>
      </c>
      <c r="G274" s="498" t="s">
        <v>5</v>
      </c>
      <c r="H274" s="498" t="s">
        <v>5</v>
      </c>
      <c r="I274" s="498" t="s">
        <v>5</v>
      </c>
    </row>
    <row r="275" ht="18" customHeight="1" outlineLevel="2">
      <c r="A275" s="905"/>
      <c r="B275" s="505" t="s">
        <v>919</v>
      </c>
      <c r="C275" s="503"/>
      <c r="D275" s="506" t="s">
        <v>916</v>
      </c>
      <c r="E275" s="785" t="n">
        <v>46280</v>
      </c>
      <c r="F275" s="494"/>
      <c r="G275" s="492" t="n">
        <v>8</v>
      </c>
      <c r="H275" s="506"/>
      <c r="I275" s="500"/>
    </row>
    <row r="276" ht="18" customHeight="1" outlineLevel="2">
      <c r="A276" s="905"/>
      <c r="B276" s="504" t="s">
        <v>920</v>
      </c>
      <c r="C276" s="503"/>
      <c r="D276" s="506" t="s">
        <v>916</v>
      </c>
      <c r="E276" s="785" t="n">
        <v>46280</v>
      </c>
      <c r="F276" s="494"/>
      <c r="G276" s="492" t="n">
        <v>8</v>
      </c>
      <c r="H276" s="527"/>
      <c r="I276" s="500"/>
    </row>
    <row r="277" ht="18" customHeight="1" outlineLevel="2">
      <c r="A277" s="905"/>
      <c r="B277" s="526" t="s">
        <v>921</v>
      </c>
      <c r="C277" s="525"/>
      <c r="D277" s="524" t="s">
        <v>916</v>
      </c>
      <c r="E277" s="785" t="n">
        <v>46280</v>
      </c>
      <c r="F277" s="494"/>
      <c r="G277" s="523" t="n">
        <v>8</v>
      </c>
      <c r="H277" s="522"/>
      <c r="I277" s="510"/>
    </row>
    <row r="278" ht="18" customHeight="1" outlineLevel="2">
      <c r="A278" s="905"/>
      <c r="B278" s="505" t="s">
        <v>922</v>
      </c>
      <c r="C278" s="503"/>
      <c r="D278" s="506" t="s">
        <v>923</v>
      </c>
      <c r="E278" s="785" t="n">
        <v>46285</v>
      </c>
      <c r="F278" s="511"/>
      <c r="G278" s="492" t="n">
        <v>8</v>
      </c>
      <c r="H278" s="488"/>
      <c r="I278" s="521"/>
    </row>
    <row r="279" ht="18" customHeight="1" outlineLevel="2">
      <c r="A279" s="905"/>
      <c r="B279" s="505" t="s">
        <v>924</v>
      </c>
      <c r="C279" s="503"/>
      <c r="D279" s="506" t="s">
        <v>925</v>
      </c>
      <c r="E279" s="785" t="n">
        <v>46285</v>
      </c>
      <c r="F279" s="511"/>
      <c r="G279" s="492" t="n">
        <v>8</v>
      </c>
      <c r="H279" s="488"/>
      <c r="I279" s="500"/>
    </row>
    <row r="280" ht="18" customHeight="1" outlineLevel="2">
      <c r="A280" s="905"/>
      <c r="B280" s="512" t="s">
        <v>669</v>
      </c>
      <c r="C280" s="503"/>
      <c r="D280" s="506" t="s">
        <v>925</v>
      </c>
      <c r="E280" s="785" t="n">
        <v>46285</v>
      </c>
      <c r="F280" s="511"/>
      <c r="G280" s="492" t="n">
        <v>8</v>
      </c>
      <c r="H280" s="488"/>
      <c r="I280" s="500"/>
    </row>
    <row r="281" ht="18" customHeight="1" outlineLevel="2">
      <c r="A281" s="905"/>
      <c r="B281" s="520" t="s">
        <v>926</v>
      </c>
      <c r="C281" s="519"/>
      <c r="D281" s="506" t="s">
        <v>916</v>
      </c>
      <c r="E281" s="785" t="n">
        <v>46285</v>
      </c>
      <c r="F281" s="506"/>
      <c r="G281" s="492" t="n">
        <v>8</v>
      </c>
      <c r="H281" s="492"/>
      <c r="I281" s="518"/>
    </row>
    <row r="282" ht="18" customHeight="1" outlineLevel="1">
      <c r="A282" s="905"/>
      <c r="B282" s="497" t="s">
        <v>927</v>
      </c>
      <c r="C282" s="496" t="s">
        <v>522</v>
      </c>
      <c r="D282" s="506" t="s">
        <v>925</v>
      </c>
      <c r="E282" s="785" t="n">
        <v>46285</v>
      </c>
      <c r="F282" s="511"/>
      <c r="G282" s="492" t="n">
        <v>0</v>
      </c>
      <c r="H282" s="488"/>
      <c r="I282" s="500"/>
    </row>
    <row r="283" ht="18" customHeight="1" outlineLevel="1">
      <c r="A283" s="905"/>
      <c r="B283" s="517" t="s">
        <v>928</v>
      </c>
      <c r="C283" s="498" t="s">
        <v>5</v>
      </c>
      <c r="D283" s="498" t="s">
        <v>5</v>
      </c>
      <c r="E283" s="784" t="s">
        <v>5</v>
      </c>
      <c r="F283" s="498" t="s">
        <v>5</v>
      </c>
      <c r="G283" s="498" t="s">
        <v>5</v>
      </c>
      <c r="H283" s="498" t="s">
        <v>5</v>
      </c>
      <c r="I283" s="498" t="s">
        <v>5</v>
      </c>
    </row>
    <row r="284" ht="18" customHeight="1" outlineLevel="2">
      <c r="A284" s="905"/>
      <c r="B284" s="516" t="s">
        <v>676</v>
      </c>
      <c r="C284" s="515"/>
      <c r="D284" s="495" t="s">
        <v>677</v>
      </c>
      <c r="E284" s="785" t="n">
        <v>46280</v>
      </c>
      <c r="F284" s="515"/>
      <c r="G284" s="515" t="n">
        <v>8</v>
      </c>
      <c r="H284" s="515"/>
      <c r="I284" s="514"/>
    </row>
    <row r="285" ht="18" customHeight="1" outlineLevel="2">
      <c r="A285" s="905"/>
      <c r="B285" s="508" t="s">
        <v>734</v>
      </c>
      <c r="C285" s="503"/>
      <c r="D285" s="506" t="s">
        <v>703</v>
      </c>
      <c r="E285" s="785" t="n">
        <v>46280</v>
      </c>
      <c r="F285" s="494"/>
      <c r="G285" s="492" t="n">
        <v>8</v>
      </c>
      <c r="H285" s="492"/>
      <c r="I285" s="510"/>
    </row>
    <row r="286" ht="18" customHeight="1" outlineLevel="1">
      <c r="A286" s="905"/>
      <c r="B286" s="497" t="s">
        <v>929</v>
      </c>
      <c r="C286" s="496" t="s">
        <v>522</v>
      </c>
      <c r="D286" s="506" t="s">
        <v>703</v>
      </c>
      <c r="E286" s="785" t="n">
        <v>46280</v>
      </c>
      <c r="F286" s="493"/>
      <c r="G286" s="492" t="n">
        <v>0</v>
      </c>
      <c r="H286" s="491"/>
      <c r="I286" s="500"/>
    </row>
    <row r="287" ht="18" customHeight="1" outlineLevel="1">
      <c r="A287" s="905"/>
      <c r="B287" s="509" t="s">
        <v>705</v>
      </c>
      <c r="C287" s="498" t="s">
        <v>5</v>
      </c>
      <c r="D287" s="498" t="s">
        <v>5</v>
      </c>
      <c r="E287" s="784" t="s">
        <v>5</v>
      </c>
      <c r="F287" s="498" t="s">
        <v>5</v>
      </c>
      <c r="G287" s="498" t="s">
        <v>5</v>
      </c>
      <c r="H287" s="498" t="s">
        <v>5</v>
      </c>
      <c r="I287" s="498" t="s">
        <v>5</v>
      </c>
    </row>
    <row r="288" ht="18" customHeight="1" outlineLevel="2">
      <c r="A288" s="905"/>
      <c r="B288" s="512" t="s">
        <v>706</v>
      </c>
      <c r="C288" s="512"/>
      <c r="D288" s="513" t="s">
        <v>603</v>
      </c>
      <c r="E288" s="785" t="n">
        <v>46283</v>
      </c>
      <c r="F288" s="512"/>
      <c r="G288" s="492" t="n">
        <v>2</v>
      </c>
      <c r="H288" s="512"/>
      <c r="I288" s="512"/>
    </row>
    <row r="289" ht="18" customHeight="1" outlineLevel="2">
      <c r="A289" s="905"/>
      <c r="B289" s="512" t="s">
        <v>708</v>
      </c>
      <c r="C289" s="512"/>
      <c r="D289" s="513" t="s">
        <v>930</v>
      </c>
      <c r="E289" s="785" t="n">
        <v>46283</v>
      </c>
      <c r="F289" s="512"/>
      <c r="G289" s="492" t="n">
        <v>2</v>
      </c>
      <c r="H289" s="512"/>
      <c r="I289" s="510"/>
    </row>
    <row r="290" ht="18" customHeight="1" outlineLevel="2">
      <c r="A290" s="905"/>
      <c r="B290" s="512" t="s">
        <v>711</v>
      </c>
      <c r="C290" s="512"/>
      <c r="D290" s="513" t="s">
        <v>712</v>
      </c>
      <c r="E290" s="785" t="n">
        <v>46283</v>
      </c>
      <c r="F290" s="512"/>
      <c r="G290" s="492" t="n">
        <v>2</v>
      </c>
      <c r="H290" s="512"/>
      <c r="I290" s="510"/>
    </row>
    <row r="291" ht="18" customHeight="1" outlineLevel="2">
      <c r="A291" s="905"/>
      <c r="B291" s="512" t="s">
        <v>715</v>
      </c>
      <c r="C291" s="503"/>
      <c r="D291" s="495" t="s">
        <v>716</v>
      </c>
      <c r="E291" s="785" t="n">
        <v>46283</v>
      </c>
      <c r="F291" s="511"/>
      <c r="G291" s="492" t="n">
        <v>2</v>
      </c>
      <c r="H291" s="488"/>
      <c r="I291" s="510"/>
    </row>
    <row r="292" ht="18" customHeight="1">
      <c r="A292" s="905"/>
      <c r="B292" s="497" t="s">
        <v>931</v>
      </c>
      <c r="C292" s="496" t="s">
        <v>522</v>
      </c>
      <c r="D292" s="495" t="s">
        <v>719</v>
      </c>
      <c r="E292" s="785" t="n">
        <v>46283</v>
      </c>
      <c r="F292" s="511"/>
      <c r="G292" s="492"/>
      <c r="H292" s="488"/>
      <c r="I292" s="510"/>
    </row>
    <row r="293" ht="18" customHeight="1" outlineLevel="1">
      <c r="A293" s="905"/>
      <c r="B293" s="509" t="s">
        <v>724</v>
      </c>
      <c r="C293" s="498" t="s">
        <v>5</v>
      </c>
      <c r="D293" s="498" t="s">
        <v>5</v>
      </c>
      <c r="E293" s="784" t="s">
        <v>5</v>
      </c>
      <c r="F293" s="498" t="s">
        <v>5</v>
      </c>
      <c r="G293" s="498" t="s">
        <v>5</v>
      </c>
      <c r="H293" s="498" t="s">
        <v>5</v>
      </c>
      <c r="I293" s="498" t="s">
        <v>5</v>
      </c>
    </row>
    <row r="294" ht="27" customHeight="1" outlineLevel="2">
      <c r="A294" s="905"/>
      <c r="B294" s="512" t="s">
        <v>725</v>
      </c>
      <c r="C294" s="503"/>
      <c r="D294" s="495" t="s">
        <v>726</v>
      </c>
      <c r="E294" s="785" t="n">
        <v>46290</v>
      </c>
      <c r="F294" s="511"/>
      <c r="G294" s="492" t="n">
        <v>40</v>
      </c>
      <c r="H294" s="488"/>
      <c r="I294" s="500"/>
    </row>
    <row r="295" ht="27" customHeight="1" outlineLevel="2">
      <c r="A295" s="905"/>
      <c r="B295" s="512" t="s">
        <v>728</v>
      </c>
      <c r="C295" s="503"/>
      <c r="D295" s="495" t="s">
        <v>729</v>
      </c>
      <c r="E295" s="785" t="n">
        <v>46290</v>
      </c>
      <c r="F295" s="511"/>
      <c r="G295" s="492" t="n">
        <v>40</v>
      </c>
      <c r="H295" s="488"/>
      <c r="I295" s="510"/>
    </row>
    <row r="296" ht="27" customHeight="1" outlineLevel="1">
      <c r="A296" s="905"/>
      <c r="B296" s="497" t="s">
        <v>932</v>
      </c>
      <c r="C296" s="496" t="s">
        <v>522</v>
      </c>
      <c r="D296" s="495" t="s">
        <v>729</v>
      </c>
      <c r="E296" s="785" t="n">
        <v>46290</v>
      </c>
      <c r="F296" s="493"/>
      <c r="G296" s="492" t="n">
        <v>0</v>
      </c>
      <c r="H296" s="491"/>
      <c r="I296" s="500"/>
    </row>
    <row r="297" ht="18" customHeight="1" outlineLevel="1">
      <c r="A297" s="905"/>
      <c r="B297" s="509" t="s">
        <v>733</v>
      </c>
      <c r="C297" s="498" t="s">
        <v>5</v>
      </c>
      <c r="D297" s="498" t="s">
        <v>5</v>
      </c>
      <c r="E297" s="784" t="s">
        <v>5</v>
      </c>
      <c r="F297" s="498" t="s">
        <v>5</v>
      </c>
      <c r="G297" s="498" t="s">
        <v>5</v>
      </c>
      <c r="H297" s="498" t="s">
        <v>5</v>
      </c>
      <c r="I297" s="498" t="s">
        <v>5</v>
      </c>
    </row>
    <row r="298" ht="18" customHeight="1" outlineLevel="2">
      <c r="A298" s="905"/>
      <c r="B298" s="508" t="s">
        <v>734</v>
      </c>
      <c r="C298" s="503"/>
      <c r="D298" s="495" t="s">
        <v>370</v>
      </c>
      <c r="E298" s="785" t="n">
        <v>46290</v>
      </c>
      <c r="F298" s="494"/>
      <c r="G298" s="492" t="n">
        <v>1</v>
      </c>
      <c r="H298" s="492"/>
      <c r="I298" s="507"/>
    </row>
    <row r="299" ht="18" customHeight="1" outlineLevel="2">
      <c r="A299" s="905"/>
      <c r="B299" s="508" t="s">
        <v>736</v>
      </c>
      <c r="C299" s="503"/>
      <c r="D299" s="495" t="s">
        <v>370</v>
      </c>
      <c r="E299" s="785" t="n">
        <v>46293</v>
      </c>
      <c r="F299" s="494"/>
      <c r="G299" s="492" t="n">
        <v>1</v>
      </c>
      <c r="H299" s="492"/>
      <c r="I299" s="507"/>
    </row>
    <row r="300" ht="18" customHeight="1" outlineLevel="2">
      <c r="A300" s="905"/>
      <c r="B300" s="508" t="s">
        <v>738</v>
      </c>
      <c r="C300" s="503"/>
      <c r="D300" s="495" t="s">
        <v>370</v>
      </c>
      <c r="E300" s="785" t="n">
        <v>46293</v>
      </c>
      <c r="F300" s="494"/>
      <c r="G300" s="492" t="n">
        <v>1</v>
      </c>
      <c r="H300" s="492"/>
      <c r="I300" s="507"/>
    </row>
    <row r="301" ht="18" customHeight="1" outlineLevel="2">
      <c r="A301" s="905"/>
      <c r="B301" s="508" t="s">
        <v>933</v>
      </c>
      <c r="C301" s="503"/>
      <c r="D301" s="495" t="s">
        <v>370</v>
      </c>
      <c r="E301" s="785" t="n">
        <v>46293</v>
      </c>
      <c r="F301" s="494"/>
      <c r="G301" s="492" t="n">
        <v>1</v>
      </c>
      <c r="H301" s="492"/>
      <c r="I301" s="507"/>
    </row>
    <row r="302" ht="18" customHeight="1" outlineLevel="2">
      <c r="A302" s="905"/>
      <c r="B302" s="505" t="s">
        <v>742</v>
      </c>
      <c r="C302" s="506"/>
      <c r="D302" s="495" t="s">
        <v>370</v>
      </c>
      <c r="E302" s="785" t="n">
        <v>46293</v>
      </c>
      <c r="F302" s="502"/>
      <c r="G302" s="492" t="n">
        <v>1</v>
      </c>
      <c r="H302" s="491"/>
      <c r="I302" s="501"/>
    </row>
    <row r="303" ht="18" customHeight="1" outlineLevel="2">
      <c r="A303" s="905"/>
      <c r="B303" s="505" t="s">
        <v>744</v>
      </c>
      <c r="C303" s="503"/>
      <c r="D303" s="495" t="s">
        <v>370</v>
      </c>
      <c r="E303" s="785" t="n">
        <v>46293</v>
      </c>
      <c r="F303" s="502"/>
      <c r="G303" s="492" t="n">
        <v>1</v>
      </c>
      <c r="H303" s="491"/>
      <c r="I303" s="501"/>
    </row>
    <row r="304" ht="18" customHeight="1" outlineLevel="2">
      <c r="A304" s="905"/>
      <c r="B304" s="505" t="s">
        <v>746</v>
      </c>
      <c r="C304" s="503"/>
      <c r="D304" s="495" t="s">
        <v>370</v>
      </c>
      <c r="E304" s="785" t="n">
        <v>46293</v>
      </c>
      <c r="F304" s="502"/>
      <c r="G304" s="492" t="n">
        <v>1</v>
      </c>
      <c r="H304" s="491"/>
      <c r="I304" s="501"/>
    </row>
    <row r="305" ht="18" customHeight="1" outlineLevel="2">
      <c r="A305" s="905"/>
      <c r="B305" s="504" t="s">
        <v>748</v>
      </c>
      <c r="C305" s="503"/>
      <c r="D305" s="495" t="s">
        <v>370</v>
      </c>
      <c r="E305" s="785" t="n">
        <v>46293</v>
      </c>
      <c r="F305" s="502"/>
      <c r="G305" s="492" t="n">
        <v>1</v>
      </c>
      <c r="H305" s="491"/>
      <c r="I305" s="501"/>
    </row>
    <row r="306" ht="27" customHeight="1" outlineLevel="1">
      <c r="A306" s="905"/>
      <c r="B306" s="497" t="s">
        <v>934</v>
      </c>
      <c r="C306" s="496" t="s">
        <v>522</v>
      </c>
      <c r="D306" s="495" t="s">
        <v>729</v>
      </c>
      <c r="E306" s="785" t="n">
        <v>46295</v>
      </c>
      <c r="F306" s="493"/>
      <c r="G306" s="492" t="n">
        <v>0</v>
      </c>
      <c r="H306" s="491"/>
      <c r="I306" s="500"/>
    </row>
    <row r="307" ht="18" customHeight="1" outlineLevel="1">
      <c r="A307" s="905"/>
      <c r="B307" s="499" t="s">
        <v>764</v>
      </c>
      <c r="C307" s="498" t="s">
        <v>5</v>
      </c>
      <c r="D307" s="498" t="s">
        <v>5</v>
      </c>
      <c r="E307" s="784" t="s">
        <v>5</v>
      </c>
      <c r="F307" s="498" t="s">
        <v>5</v>
      </c>
      <c r="G307" s="498" t="s">
        <v>5</v>
      </c>
      <c r="H307" s="498" t="s">
        <v>5</v>
      </c>
      <c r="I307" s="498" t="s">
        <v>5</v>
      </c>
    </row>
    <row r="308" ht="18" customHeight="1">
      <c r="A308" s="905"/>
      <c r="B308" s="497" t="s">
        <v>935</v>
      </c>
      <c r="C308" s="496" t="s">
        <v>522</v>
      </c>
      <c r="D308" s="495" t="s">
        <v>229</v>
      </c>
      <c r="E308" s="785" t="n">
        <v>46295</v>
      </c>
      <c r="F308" s="493"/>
      <c r="G308" s="492" t="n">
        <v>0</v>
      </c>
      <c r="H308" s="491"/>
      <c r="I308" s="490"/>
    </row>
    <row r="309" ht="18" customHeight="1">
      <c r="A309" s="905"/>
      <c r="B309" s="497" t="s">
        <v>936</v>
      </c>
      <c r="C309" s="496" t="s">
        <v>522</v>
      </c>
      <c r="D309" s="495" t="s">
        <v>229</v>
      </c>
      <c r="E309" s="785" t="n">
        <v>46310</v>
      </c>
      <c r="F309" s="493"/>
      <c r="G309" s="492" t="n">
        <v>0</v>
      </c>
      <c r="H309" s="491"/>
      <c r="I309" s="490"/>
    </row>
    <row r="310" s="486" customFormat="1" ht="18.75" customHeight="1">
      <c r="A310" s="489"/>
      <c r="B310" s="900" t="s">
        <v>525</v>
      </c>
      <c r="C310" s="901"/>
      <c r="D310" s="901"/>
      <c r="E310" s="901"/>
      <c r="F310" s="901"/>
      <c r="G310" s="488" t="n">
        <f>SUM(G52:G309)</f>
        <v>1634</v>
      </c>
      <c r="H310" s="488" t="n">
        <f>SUM(H303:H308)</f>
        <v>0</v>
      </c>
      <c r="I310" s="487"/>
    </row>
  </sheetData>
  <autoFilter ref="A2:XFD1048576"/>
  <mergeCells count="16">
    <mergeCell ref="B6:F6"/>
    <mergeCell ref="B310:F310"/>
    <mergeCell ref="A1:B1"/>
    <mergeCell ref="B16:F16"/>
    <mergeCell ref="A8:A16"/>
    <mergeCell ref="A4:A6"/>
    <mergeCell ref="I162:I167"/>
    <mergeCell ref="C1:E1"/>
    <mergeCell ref="A161:A309"/>
    <mergeCell ref="F1:H1"/>
    <mergeCell ref="I192:I195"/>
    <mergeCell ref="I199:I206"/>
    <mergeCell ref="A52:A160"/>
    <mergeCell ref="B50:F50"/>
    <mergeCell ref="A18:A50"/>
    <mergeCell ref="I169:I17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5.75" customHeight="1"/>
  <sheetData>
    <row r="1" ht="15.75" customHeight="1">
      <c r="A1" s="87" t="s">
        <v>937</v>
      </c>
    </row>
    <row r="2" ht="15.75" customHeight="1">
      <c r="A2" s="88" t="s">
        <v>938</v>
      </c>
    </row>
    <row r="3" ht="15.75" customHeight="1">
      <c r="A3" s="89" t="s">
        <v>939</v>
      </c>
    </row>
    <row r="4" ht="15.75" customHeight="1">
      <c r="A4" s="89" t="s">
        <v>940</v>
      </c>
    </row>
    <row r="5" ht="15.75" customHeight="1">
      <c r="A5" s="89" t="s">
        <v>941</v>
      </c>
    </row>
    <row r="6" ht="15.75" customHeight="1">
      <c r="A6" s="88" t="s">
        <v>942</v>
      </c>
    </row>
    <row r="7" ht="15.75" customHeight="1">
      <c r="A7" s="90" t="s">
        <v>943</v>
      </c>
    </row>
    <row r="8" ht="15.75" customHeight="1">
      <c r="A8" s="89" t="s">
        <v>944</v>
      </c>
    </row>
    <row r="9" ht="15.75" customHeight="1">
      <c r="A9" s="89" t="s">
        <v>945</v>
      </c>
    </row>
    <row r="10" ht="15.75" customHeight="1">
      <c r="A10" s="89" t="s">
        <v>946</v>
      </c>
    </row>
    <row r="11" ht="15.75" customHeight="1">
      <c r="A11" s="89" t="s">
        <v>947</v>
      </c>
    </row>
    <row r="12" ht="15.75" customHeight="1">
      <c r="A12" s="89" t="s">
        <v>948</v>
      </c>
    </row>
    <row r="13" ht="15.75" customHeight="1">
      <c r="A13" s="89" t="s">
        <v>949</v>
      </c>
    </row>
    <row r="14" ht="15.75" customHeight="1">
      <c r="A14" s="91" t="s">
        <v>950</v>
      </c>
    </row>
    <row r="15" ht="15.75" customHeight="1">
      <c r="A15" s="88" t="s">
        <v>951</v>
      </c>
    </row>
    <row r="16" ht="15.75" customHeight="1">
      <c r="A16" s="92" t="s">
        <v>952</v>
      </c>
    </row>
    <row r="17" ht="15.75" customHeight="1">
      <c r="A17" s="90" t="s">
        <v>953</v>
      </c>
    </row>
    <row r="18" ht="15.75" customHeight="1">
      <c r="A18" s="92" t="s">
        <v>954</v>
      </c>
    </row>
    <row r="19" ht="15.75" customHeight="1">
      <c r="A19" s="93" t="s">
        <v>955</v>
      </c>
      <c r="B19" s="94" t="s">
        <v>956</v>
      </c>
      <c r="C19" s="94" t="s">
        <v>3</v>
      </c>
    </row>
    <row r="20" ht="30" customHeight="1">
      <c r="A20" s="95" t="s">
        <v>957</v>
      </c>
      <c r="B20" s="96" t="s">
        <v>958</v>
      </c>
      <c r="C20" s="96" t="s">
        <v>959</v>
      </c>
    </row>
    <row r="21" ht="30" customHeight="1">
      <c r="A21" s="95" t="s">
        <v>960</v>
      </c>
      <c r="B21" s="96" t="s">
        <v>961</v>
      </c>
      <c r="C21" s="96" t="s">
        <v>962</v>
      </c>
    </row>
    <row r="22" ht="30" customHeight="1">
      <c r="A22" s="95" t="s">
        <v>963</v>
      </c>
      <c r="B22" s="96" t="s">
        <v>964</v>
      </c>
      <c r="C22" s="96" t="s">
        <v>965</v>
      </c>
    </row>
    <row r="23" ht="30" customHeight="1">
      <c r="A23" s="95" t="s">
        <v>966</v>
      </c>
      <c r="B23" s="96" t="s">
        <v>967</v>
      </c>
      <c r="C23" s="96" t="s">
        <v>968</v>
      </c>
    </row>
    <row r="24" ht="30" customHeight="1">
      <c r="A24" s="95" t="s">
        <v>969</v>
      </c>
      <c r="B24" s="96" t="s">
        <v>970</v>
      </c>
      <c r="C24" s="96" t="s">
        <v>971</v>
      </c>
    </row>
    <row r="25" ht="45" customHeight="1">
      <c r="A25" s="95" t="s">
        <v>28</v>
      </c>
      <c r="B25" s="96" t="s">
        <v>972</v>
      </c>
      <c r="C25" s="96" t="s">
        <v>973</v>
      </c>
    </row>
    <row r="26" ht="15.75" customHeight="1">
      <c r="A26" s="92" t="s">
        <v>974</v>
      </c>
    </row>
    <row r="27" ht="57" customHeight="1">
      <c r="A27" s="93" t="s">
        <v>975</v>
      </c>
      <c r="B27" s="94" t="s">
        <v>976</v>
      </c>
      <c r="C27" s="94" t="s">
        <v>977</v>
      </c>
      <c r="D27" s="97" t="s">
        <v>978</v>
      </c>
    </row>
    <row r="28" ht="15.75" customHeight="1">
      <c r="A28" s="95" t="s">
        <v>81</v>
      </c>
      <c r="B28" s="96" t="s">
        <v>979</v>
      </c>
      <c r="C28" s="96" t="s">
        <v>980</v>
      </c>
      <c r="D28" s="96" t="s">
        <v>981</v>
      </c>
    </row>
    <row r="29" ht="15.75" customHeight="1">
      <c r="A29" s="95" t="s">
        <v>83</v>
      </c>
      <c r="B29" s="98" t="s">
        <v>982</v>
      </c>
      <c r="C29" s="96" t="s">
        <v>980</v>
      </c>
      <c r="D29" s="96" t="s">
        <v>981</v>
      </c>
    </row>
    <row r="30" ht="15.75" customHeight="1">
      <c r="A30" s="95" t="s">
        <v>84</v>
      </c>
      <c r="B30" s="96" t="s">
        <v>979</v>
      </c>
      <c r="C30" s="96" t="s">
        <v>980</v>
      </c>
      <c r="D30" s="96" t="s">
        <v>981</v>
      </c>
    </row>
    <row r="31" ht="15.75" customHeight="1">
      <c r="A31" s="95" t="s">
        <v>85</v>
      </c>
      <c r="B31" s="96" t="s">
        <v>979</v>
      </c>
      <c r="C31" s="96" t="s">
        <v>980</v>
      </c>
      <c r="D31" s="96" t="s">
        <v>981</v>
      </c>
    </row>
    <row r="32" ht="15.75" customHeight="1">
      <c r="A32" s="95" t="s">
        <v>86</v>
      </c>
      <c r="B32" s="96" t="s">
        <v>979</v>
      </c>
      <c r="C32" s="96" t="s">
        <v>980</v>
      </c>
      <c r="D32" s="96" t="s">
        <v>981</v>
      </c>
    </row>
    <row r="33" ht="15.75" customHeight="1">
      <c r="A33" s="95" t="s">
        <v>87</v>
      </c>
      <c r="B33" s="98" t="s">
        <v>983</v>
      </c>
      <c r="C33" s="96" t="s">
        <v>980</v>
      </c>
      <c r="D33" s="96" t="s">
        <v>981</v>
      </c>
    </row>
    <row r="34" ht="15.75" customHeight="1">
      <c r="A34" s="95" t="s">
        <v>88</v>
      </c>
      <c r="B34" s="96" t="s">
        <v>979</v>
      </c>
      <c r="C34" s="96" t="s">
        <v>980</v>
      </c>
      <c r="D34" s="96" t="s">
        <v>981</v>
      </c>
    </row>
    <row r="35" ht="15.75" customHeight="1">
      <c r="A35" s="95" t="s">
        <v>984</v>
      </c>
      <c r="B35" s="96" t="s">
        <v>965</v>
      </c>
      <c r="C35" s="96" t="s">
        <v>985</v>
      </c>
      <c r="D35" s="96" t="s">
        <v>965</v>
      </c>
    </row>
    <row r="36" ht="15.75" customHeight="1">
      <c r="A36" s="88" t="s">
        <v>986</v>
      </c>
    </row>
    <row r="37" ht="15.75" customHeight="1">
      <c r="A37" s="89" t="s">
        <v>987</v>
      </c>
    </row>
    <row r="38" ht="15.75" customHeight="1">
      <c r="A38" s="89" t="s">
        <v>988</v>
      </c>
    </row>
    <row r="39" ht="15.75" customHeight="1">
      <c r="A39" s="89" t="s">
        <v>989</v>
      </c>
    </row>
    <row r="40" ht="15.75" customHeight="1">
      <c r="A40" s="89" t="s">
        <v>990</v>
      </c>
    </row>
    <row r="41" ht="15.75" customHeight="1">
      <c r="A41" s="89" t="s">
        <v>991</v>
      </c>
    </row>
    <row r="42" ht="15.75" customHeight="1">
      <c r="A42" s="89" t="s">
        <v>992</v>
      </c>
    </row>
    <row r="43" ht="15.75" customHeight="1">
      <c r="A43" s="89" t="s">
        <v>993</v>
      </c>
    </row>
    <row r="44" ht="15.75" customHeight="1">
      <c r="A44" s="89" t="s">
        <v>994</v>
      </c>
    </row>
    <row r="45" ht="15.75" customHeight="1">
      <c r="A45" s="88" t="s">
        <v>995</v>
      </c>
    </row>
    <row r="46" ht="28.5" customHeight="1">
      <c r="A46" s="93" t="s">
        <v>996</v>
      </c>
      <c r="B46" s="94" t="s">
        <v>997</v>
      </c>
      <c r="C46" s="94" t="s">
        <v>998</v>
      </c>
    </row>
    <row r="47" ht="60" customHeight="1">
      <c r="A47" s="95" t="s">
        <v>999</v>
      </c>
      <c r="B47" s="96" t="s">
        <v>1000</v>
      </c>
      <c r="C47" s="96" t="s">
        <v>1001</v>
      </c>
    </row>
    <row r="48" ht="43.5" customHeight="1">
      <c r="A48" s="95" t="s">
        <v>1002</v>
      </c>
      <c r="B48" s="99" t="s">
        <v>1003</v>
      </c>
      <c r="C48" s="99" t="s">
        <v>1004</v>
      </c>
    </row>
    <row r="49" ht="60" customHeight="1">
      <c r="A49" s="95" t="s">
        <v>1005</v>
      </c>
      <c r="B49" s="96" t="s">
        <v>1006</v>
      </c>
      <c r="C49" s="96" t="s">
        <v>1007</v>
      </c>
    </row>
    <row r="50" ht="60" customHeight="1">
      <c r="A50" s="95" t="s">
        <v>1008</v>
      </c>
      <c r="B50" s="96" t="s">
        <v>1009</v>
      </c>
      <c r="C50" s="96" t="s">
        <v>1010</v>
      </c>
    </row>
    <row r="51" ht="45" customHeight="1">
      <c r="A51" s="95" t="s">
        <v>1011</v>
      </c>
      <c r="B51" s="96" t="s">
        <v>1012</v>
      </c>
      <c r="C51" s="96" t="s">
        <v>1013</v>
      </c>
    </row>
    <row r="52" ht="15.75" customHeight="1">
      <c r="A52" s="88" t="s">
        <v>1014</v>
      </c>
    </row>
    <row r="53" ht="15.75" customHeight="1">
      <c r="A53" s="92" t="s">
        <v>1015</v>
      </c>
    </row>
    <row r="54" ht="42.75" customHeight="1">
      <c r="A54" s="93" t="s">
        <v>1016</v>
      </c>
      <c r="B54" s="94" t="s">
        <v>1017</v>
      </c>
      <c r="C54" s="94" t="s">
        <v>1018</v>
      </c>
      <c r="D54" s="94" t="s">
        <v>1019</v>
      </c>
    </row>
    <row r="55" ht="105" customHeight="1">
      <c r="A55" s="100" t="s">
        <v>1020</v>
      </c>
      <c r="B55" s="96" t="s">
        <v>1021</v>
      </c>
      <c r="C55" s="96" t="n">
        <v>1</v>
      </c>
      <c r="D55" s="96" t="s">
        <v>1022</v>
      </c>
    </row>
    <row r="56" ht="105" customHeight="1">
      <c r="A56" s="100" t="s">
        <v>1023</v>
      </c>
      <c r="B56" s="96" t="s">
        <v>1024</v>
      </c>
      <c r="C56" s="96" t="n">
        <v>1</v>
      </c>
      <c r="D56" s="96" t="s">
        <v>1025</v>
      </c>
    </row>
    <row r="57" ht="75" customHeight="1">
      <c r="A57" s="100" t="s">
        <v>1026</v>
      </c>
      <c r="B57" s="96" t="s">
        <v>1027</v>
      </c>
      <c r="C57" s="96" t="n">
        <v>1</v>
      </c>
      <c r="D57" s="96" t="s">
        <v>1028</v>
      </c>
    </row>
    <row r="58" ht="15.75" customHeight="1">
      <c r="A58" s="92" t="s">
        <v>1029</v>
      </c>
    </row>
    <row r="59" ht="28.5" customHeight="1">
      <c r="A59" s="93" t="s">
        <v>1030</v>
      </c>
      <c r="B59" s="94" t="s">
        <v>1018</v>
      </c>
      <c r="C59" s="94" t="s">
        <v>1031</v>
      </c>
    </row>
    <row r="60" ht="30" customHeight="1">
      <c r="A60" s="100" t="s">
        <v>1032</v>
      </c>
      <c r="B60" s="96" t="n">
        <v>1</v>
      </c>
      <c r="C60" s="96" t="s">
        <v>1033</v>
      </c>
    </row>
    <row r="61" ht="30" customHeight="1">
      <c r="A61" s="100" t="s">
        <v>1034</v>
      </c>
      <c r="B61" s="96" t="n">
        <v>1</v>
      </c>
      <c r="C61" s="96" t="s">
        <v>1035</v>
      </c>
    </row>
    <row r="62" ht="15.75" customHeight="1">
      <c r="A62" s="88" t="s">
        <v>1036</v>
      </c>
    </row>
    <row r="63" ht="15.75" customHeight="1">
      <c r="A63" s="90" t="s">
        <v>1037</v>
      </c>
    </row>
    <row r="64" ht="15.75" customHeight="1">
      <c r="A64" s="92" t="s">
        <v>1038</v>
      </c>
    </row>
    <row r="65" ht="15.75" customHeight="1">
      <c r="A65" s="89" t="s">
        <v>1039</v>
      </c>
    </row>
    <row r="66" ht="15.75" customHeight="1">
      <c r="A66" s="89" t="s">
        <v>1040</v>
      </c>
    </row>
    <row r="67" ht="15.75" customHeight="1">
      <c r="A67" s="89" t="s">
        <v>1041</v>
      </c>
    </row>
    <row r="68" ht="15.75" customHeight="1">
      <c r="A68" s="92" t="s">
        <v>1042</v>
      </c>
    </row>
    <row r="69" ht="15.75" customHeight="1">
      <c r="A69" s="89" t="s">
        <v>1043</v>
      </c>
    </row>
    <row r="70" ht="15.75" customHeight="1">
      <c r="A70" s="91" t="s">
        <v>950</v>
      </c>
    </row>
    <row r="71" ht="31.5" customHeight="1">
      <c r="A71" s="101" t="s">
        <v>1044</v>
      </c>
      <c r="B71" s="102" t="s">
        <v>166</v>
      </c>
    </row>
    <row r="72" ht="78.75" customHeight="1">
      <c r="A72" s="103" t="s">
        <v>167</v>
      </c>
      <c r="B72" s="104" t="s">
        <v>168</v>
      </c>
    </row>
    <row r="73" ht="47.25" customHeight="1">
      <c r="A73" s="103" t="s">
        <v>169</v>
      </c>
      <c r="B73" s="104" t="s">
        <v>170</v>
      </c>
    </row>
    <row r="74" ht="47.25" customHeight="1">
      <c r="A74" s="103" t="s">
        <v>173</v>
      </c>
      <c r="B74" s="104" t="s">
        <v>174</v>
      </c>
    </row>
    <row r="75" ht="31.5" customHeight="1">
      <c r="A75" s="103" t="s">
        <v>175</v>
      </c>
      <c r="B75" s="104" t="s">
        <v>176</v>
      </c>
    </row>
    <row r="76" ht="15.75" customHeight="1">
      <c r="A76" s="90" t="s">
        <v>950</v>
      </c>
    </row>
    <row r="77" ht="15.75" customHeight="1">
      <c r="A77" s="89" t="s">
        <v>1045</v>
      </c>
    </row>
    <row r="78" ht="15.75" customHeight="1">
      <c r="A78" s="92" t="s">
        <v>1046</v>
      </c>
    </row>
    <row r="79" ht="15.75" customHeight="1">
      <c r="A79" s="89" t="s">
        <v>1047</v>
      </c>
    </row>
    <row r="80" ht="15.75" customHeight="1">
      <c r="A80" s="89" t="s">
        <v>1048</v>
      </c>
    </row>
    <row r="81" ht="15.75" customHeight="1">
      <c r="A81" s="89" t="s">
        <v>1049</v>
      </c>
    </row>
    <row r="82" ht="15.75" customHeight="1">
      <c r="A82" s="105" t="s">
        <v>950</v>
      </c>
    </row>
    <row r="83" ht="15.75" customHeight="1">
      <c r="A83" s="88" t="s">
        <v>1050</v>
      </c>
    </row>
    <row r="84" ht="15.75" customHeight="1">
      <c r="A84" s="92" t="s">
        <v>1051</v>
      </c>
    </row>
    <row r="85" ht="15.75" customHeight="1">
      <c r="A85" s="93" t="s">
        <v>1052</v>
      </c>
      <c r="B85" s="94" t="s">
        <v>956</v>
      </c>
      <c r="C85" s="94" t="s">
        <v>3</v>
      </c>
    </row>
    <row r="86" ht="75" customHeight="1">
      <c r="A86" s="100" t="s">
        <v>90</v>
      </c>
      <c r="B86" s="96" t="s">
        <v>1053</v>
      </c>
      <c r="C86" s="96" t="s">
        <v>1054</v>
      </c>
    </row>
    <row r="87" ht="75" customHeight="1">
      <c r="A87" s="100" t="s">
        <v>92</v>
      </c>
      <c r="B87" s="96" t="s">
        <v>1055</v>
      </c>
      <c r="C87" s="96" t="s">
        <v>1054</v>
      </c>
    </row>
    <row r="88" ht="45" customHeight="1">
      <c r="A88" s="100" t="s">
        <v>1056</v>
      </c>
      <c r="B88" s="96" t="s">
        <v>1057</v>
      </c>
      <c r="C88" s="96" t="s">
        <v>1058</v>
      </c>
    </row>
    <row r="89" ht="45" customHeight="1">
      <c r="A89" s="100" t="s">
        <v>1059</v>
      </c>
      <c r="B89" s="96" t="s">
        <v>25</v>
      </c>
      <c r="C89" s="96" t="s">
        <v>1060</v>
      </c>
    </row>
    <row r="90" ht="15.75" customHeight="1">
      <c r="A90" s="100" t="s">
        <v>12</v>
      </c>
      <c r="B90" s="96" t="s">
        <v>1061</v>
      </c>
      <c r="C90" s="96" t="s">
        <v>965</v>
      </c>
    </row>
    <row r="91" ht="15.75" customHeight="1">
      <c r="A91" s="92" t="s">
        <v>1062</v>
      </c>
    </row>
    <row r="92" ht="15.75" customHeight="1">
      <c r="A92" s="93" t="s">
        <v>1063</v>
      </c>
      <c r="B92" s="94" t="s">
        <v>956</v>
      </c>
    </row>
    <row r="93" ht="75" customHeight="1">
      <c r="A93" s="100" t="s">
        <v>96</v>
      </c>
      <c r="B93" s="96" t="s">
        <v>1064</v>
      </c>
    </row>
    <row r="94" ht="75" customHeight="1">
      <c r="A94" s="100" t="s">
        <v>100</v>
      </c>
      <c r="B94" s="96" t="s">
        <v>1065</v>
      </c>
    </row>
    <row r="95" ht="15.75" customHeight="1">
      <c r="A95" s="92" t="s">
        <v>1066</v>
      </c>
    </row>
    <row r="96" ht="15.75" customHeight="1">
      <c r="A96" s="90" t="s">
        <v>1067</v>
      </c>
    </row>
    <row r="97" ht="15.75" customHeight="1">
      <c r="A97" s="90" t="s">
        <v>1068</v>
      </c>
    </row>
    <row r="98" ht="15.75" customHeight="1">
      <c r="A98" s="92" t="s">
        <v>1069</v>
      </c>
    </row>
    <row r="99" ht="42.75" customHeight="1">
      <c r="A99" s="93" t="s">
        <v>1070</v>
      </c>
      <c r="B99" s="94" t="s">
        <v>1071</v>
      </c>
      <c r="C99" s="94" t="s">
        <v>1072</v>
      </c>
      <c r="D99" s="94" t="s">
        <v>1073</v>
      </c>
      <c r="E99" s="94" t="s">
        <v>3</v>
      </c>
    </row>
    <row r="100" ht="30" customHeight="1">
      <c r="A100" s="95" t="s">
        <v>1074</v>
      </c>
      <c r="B100" s="96" t="s">
        <v>1075</v>
      </c>
      <c r="C100" s="96" t="s">
        <v>1076</v>
      </c>
      <c r="D100" s="96" t="s">
        <v>1077</v>
      </c>
      <c r="E100" s="96" t="s">
        <v>117</v>
      </c>
    </row>
    <row r="101" ht="30" customHeight="1">
      <c r="A101" s="95" t="s">
        <v>1078</v>
      </c>
      <c r="B101" s="96" t="s">
        <v>1079</v>
      </c>
      <c r="C101" s="96" t="s">
        <v>1076</v>
      </c>
      <c r="D101" s="96" t="s">
        <v>1077</v>
      </c>
      <c r="E101" s="96" t="s">
        <v>117</v>
      </c>
    </row>
    <row r="102" ht="30" customHeight="1">
      <c r="A102" s="95" t="s">
        <v>1080</v>
      </c>
      <c r="B102" s="96" t="s">
        <v>1079</v>
      </c>
      <c r="C102" s="96" t="s">
        <v>1076</v>
      </c>
      <c r="D102" s="96" t="s">
        <v>1077</v>
      </c>
      <c r="E102" s="96" t="s">
        <v>1081</v>
      </c>
    </row>
    <row r="103" ht="15.75" customHeight="1">
      <c r="A103" s="88" t="s">
        <v>1082</v>
      </c>
    </row>
    <row r="104" ht="15.75" customHeight="1">
      <c r="A104" s="89" t="s">
        <v>1083</v>
      </c>
    </row>
    <row r="105" ht="15.75" customHeight="1">
      <c r="A105" s="89" t="s">
        <v>1084</v>
      </c>
    </row>
    <row r="106" ht="15.75" customHeight="1">
      <c r="A106" s="89" t="s">
        <v>1085</v>
      </c>
    </row>
    <row r="107" ht="15.75" customHeight="1">
      <c r="A107" s="89" t="s">
        <v>1086</v>
      </c>
    </row>
    <row r="108" ht="15.75" customHeight="1">
      <c r="A108" s="89" t="s">
        <v>1087</v>
      </c>
    </row>
    <row r="109" ht="15.75" customHeight="1">
      <c r="A109" s="88" t="s">
        <v>1088</v>
      </c>
    </row>
    <row r="110" ht="15.75" customHeight="1">
      <c r="A110" s="92" t="s">
        <v>1089</v>
      </c>
    </row>
    <row r="111" ht="15.75" customHeight="1">
      <c r="A111" s="93" t="s">
        <v>1090</v>
      </c>
      <c r="B111" s="94" t="s">
        <v>1091</v>
      </c>
      <c r="C111" s="94" t="s">
        <v>1092</v>
      </c>
    </row>
    <row r="112" ht="60" customHeight="1">
      <c r="A112" s="95" t="s">
        <v>1093</v>
      </c>
      <c r="B112" s="96" t="s">
        <v>1094</v>
      </c>
      <c r="C112" s="96" t="s">
        <v>1095</v>
      </c>
    </row>
    <row r="113" ht="45" customHeight="1">
      <c r="A113" s="95" t="s">
        <v>1096</v>
      </c>
      <c r="B113" s="96" t="s">
        <v>1097</v>
      </c>
      <c r="C113" s="96" t="s">
        <v>1098</v>
      </c>
    </row>
    <row r="114" ht="45" customHeight="1">
      <c r="A114" s="95" t="s">
        <v>1099</v>
      </c>
      <c r="B114" s="96" t="s">
        <v>1100</v>
      </c>
      <c r="C114" s="96" t="s">
        <v>1101</v>
      </c>
    </row>
    <row r="115" ht="60" customHeight="1">
      <c r="A115" s="95" t="s">
        <v>774</v>
      </c>
      <c r="B115" s="96" t="s">
        <v>1102</v>
      </c>
      <c r="C115" s="96" t="s">
        <v>1103</v>
      </c>
    </row>
    <row r="116" ht="15.75" customHeight="1">
      <c r="A116" s="92" t="s">
        <v>1104</v>
      </c>
    </row>
    <row r="117" ht="15.75" customHeight="1">
      <c r="A117" s="89" t="s">
        <v>1105</v>
      </c>
    </row>
    <row r="118" ht="15.75" customHeight="1">
      <c r="A118" s="89" t="s">
        <v>1106</v>
      </c>
    </row>
    <row r="119" ht="15.75" customHeight="1">
      <c r="A119" s="89" t="s">
        <v>1107</v>
      </c>
    </row>
    <row r="120" ht="15.75" customHeight="1">
      <c r="A120" s="89" t="s">
        <v>1108</v>
      </c>
    </row>
    <row r="121" ht="15.75" customHeight="1">
      <c r="A121" s="88" t="s">
        <v>1109</v>
      </c>
    </row>
    <row r="122" ht="15.75" customHeight="1">
      <c r="A122" s="106" t="s">
        <v>1110</v>
      </c>
    </row>
    <row r="123" ht="15.75" customHeight="1">
      <c r="A123" s="106" t="s">
        <v>1111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4" activePane="bottomRight" state="frozen" xSplit="3" ySplit="3"/>
    </sheetView>
  </sheetViews>
  <sheetFormatPr baseColWidth="10" defaultColWidth="8.8330078125" defaultRowHeight="14.25" customHeight="1"/>
  <cols>
    <col min="3" max="3" width="25.166015625" customWidth="1" style="256"/>
    <col min="30" max="30" width="9.9990234375" style="257"/>
    <col min="59" max="59" width="12.83203125" customWidth="1" style="251"/>
    <col min="60" max="60" width="9.9990234375" customWidth="1" style="55"/>
    <col min="61" max="61" width="16.166015625" customWidth="1" style="56"/>
  </cols>
  <sheetData>
    <row r="1" ht="28.5" customHeight="1">
      <c r="A1" s="961" t="s">
        <v>1112</v>
      </c>
      <c r="B1" s="936"/>
      <c r="C1" s="1020" t="s">
        <v>1113</v>
      </c>
      <c r="D1" s="933" t="s">
        <v>1114</v>
      </c>
      <c r="E1" s="934"/>
      <c r="F1" s="934"/>
      <c r="G1" s="934"/>
      <c r="H1" s="934"/>
      <c r="I1" s="934"/>
      <c r="J1" s="934"/>
      <c r="K1" s="934"/>
      <c r="L1" s="934"/>
      <c r="M1" s="934"/>
      <c r="N1" s="934"/>
      <c r="O1" s="934"/>
      <c r="P1" s="934"/>
      <c r="Q1" s="934"/>
      <c r="R1" s="934"/>
      <c r="S1" s="934"/>
      <c r="T1" s="934"/>
      <c r="U1" s="934"/>
      <c r="V1" s="934"/>
      <c r="W1" s="934"/>
      <c r="X1" s="934"/>
      <c r="Y1" s="934"/>
      <c r="Z1" s="934"/>
      <c r="AA1" s="934"/>
      <c r="AB1" s="934"/>
      <c r="AC1" s="934"/>
      <c r="AD1" s="935"/>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6"/>
      <c r="BG1" s="949" t="s">
        <v>1115</v>
      </c>
      <c r="BH1" s="937" t="s">
        <v>1116</v>
      </c>
      <c r="BI1" s="949" t="s">
        <v>1117</v>
      </c>
      <c r="BJ1" s="940" t="s">
        <v>436</v>
      </c>
      <c r="BK1" s="964" t="s">
        <v>1118</v>
      </c>
    </row>
    <row r="2" ht="14.25" customHeight="1">
      <c r="A2" s="962" t="s">
        <v>1119</v>
      </c>
      <c r="B2" s="921" t="s">
        <v>1120</v>
      </c>
      <c r="C2" s="921" t="s">
        <v>1121</v>
      </c>
      <c r="D2" s="951" t="s">
        <v>1122</v>
      </c>
      <c r="E2" s="952"/>
      <c r="F2" s="952"/>
      <c r="G2" s="952"/>
      <c r="H2" s="952"/>
      <c r="I2" s="952"/>
      <c r="J2" s="952"/>
      <c r="K2" s="952"/>
      <c r="L2" s="952"/>
      <c r="M2" s="952"/>
      <c r="N2" s="952"/>
      <c r="O2" s="952"/>
      <c r="P2" s="952"/>
      <c r="Q2" s="952"/>
      <c r="R2" s="952"/>
      <c r="S2" s="952"/>
      <c r="T2" s="952"/>
      <c r="U2" s="952"/>
      <c r="V2" s="952"/>
      <c r="W2" s="952"/>
      <c r="X2" s="952"/>
      <c r="Y2" s="952"/>
      <c r="Z2" s="952"/>
      <c r="AA2" s="953"/>
      <c r="AB2" s="951" t="s">
        <v>1123</v>
      </c>
      <c r="AC2" s="952"/>
      <c r="AD2" s="957"/>
      <c r="AE2" s="952"/>
      <c r="AF2" s="952"/>
      <c r="AG2" s="952"/>
      <c r="AH2" s="952"/>
      <c r="AI2" s="952"/>
      <c r="AJ2" s="952"/>
      <c r="AK2" s="952"/>
      <c r="AL2" s="952"/>
      <c r="AM2" s="952"/>
      <c r="AN2" s="952"/>
      <c r="AO2" s="952"/>
      <c r="AP2" s="952"/>
      <c r="AQ2" s="952"/>
      <c r="AR2" s="952"/>
      <c r="AS2" s="952"/>
      <c r="AT2" s="952"/>
      <c r="AU2" s="952"/>
      <c r="AV2" s="952"/>
      <c r="AW2" s="952"/>
      <c r="AX2" s="952"/>
      <c r="AY2" s="952"/>
      <c r="AZ2" s="952"/>
      <c r="BA2" s="952"/>
      <c r="BB2" s="952"/>
      <c r="BC2" s="952"/>
      <c r="BD2" s="952"/>
      <c r="BE2" s="952"/>
      <c r="BF2" s="953"/>
      <c r="BG2" s="950"/>
      <c r="BH2" s="938"/>
      <c r="BI2" s="950"/>
      <c r="BJ2" s="941"/>
      <c r="BK2" s="965"/>
    </row>
    <row r="3" ht="14.25" customHeight="1">
      <c r="A3" s="963"/>
      <c r="B3" s="922"/>
      <c r="C3" s="922"/>
      <c r="D3" s="57" t="n">
        <v>8</v>
      </c>
      <c r="E3" s="58" t="n">
        <v>9</v>
      </c>
      <c r="F3" s="58" t="n">
        <v>10</v>
      </c>
      <c r="G3" s="57" t="n">
        <v>11</v>
      </c>
      <c r="H3" s="57" t="n">
        <v>12</v>
      </c>
      <c r="I3" s="57" t="n">
        <v>13</v>
      </c>
      <c r="J3" s="57" t="n">
        <v>14</v>
      </c>
      <c r="K3" s="57" t="n">
        <v>15</v>
      </c>
      <c r="L3" s="58" t="n">
        <v>16</v>
      </c>
      <c r="M3" s="58" t="n">
        <v>17</v>
      </c>
      <c r="N3" s="57" t="n">
        <v>18</v>
      </c>
      <c r="O3" s="57" t="n">
        <v>19</v>
      </c>
      <c r="P3" s="59" t="n">
        <v>20</v>
      </c>
      <c r="Q3" s="57" t="n">
        <v>21</v>
      </c>
      <c r="R3" s="57" t="n">
        <v>22</v>
      </c>
      <c r="S3" s="58" t="n">
        <v>23</v>
      </c>
      <c r="T3" s="58" t="n">
        <v>24</v>
      </c>
      <c r="U3" s="59" t="n">
        <v>25</v>
      </c>
      <c r="V3" s="57" t="n">
        <v>26</v>
      </c>
      <c r="W3" s="57" t="n">
        <v>27</v>
      </c>
      <c r="X3" s="57" t="n">
        <v>28</v>
      </c>
      <c r="Y3" s="57" t="n">
        <v>29</v>
      </c>
      <c r="Z3" s="58" t="n">
        <v>30</v>
      </c>
      <c r="AA3" s="58" t="n">
        <v>31</v>
      </c>
      <c r="AB3" s="57" t="n">
        <v>1</v>
      </c>
      <c r="AC3" s="57" t="n">
        <v>2</v>
      </c>
      <c r="AD3" s="269" t="n">
        <v>3</v>
      </c>
      <c r="AE3" s="57" t="n">
        <v>4</v>
      </c>
      <c r="AF3" s="57" t="n">
        <v>5</v>
      </c>
      <c r="AG3" s="58" t="n">
        <v>6</v>
      </c>
      <c r="AH3" s="58" t="n">
        <v>7</v>
      </c>
      <c r="AI3" s="57" t="n">
        <v>8</v>
      </c>
      <c r="AJ3" s="57" t="n">
        <v>9</v>
      </c>
      <c r="AK3" s="57" t="n">
        <v>10</v>
      </c>
      <c r="AL3" s="57" t="n">
        <v>11</v>
      </c>
      <c r="AM3" s="57" t="n">
        <v>12</v>
      </c>
      <c r="AN3" s="58" t="n">
        <v>13</v>
      </c>
      <c r="AO3" s="58" t="n">
        <v>14</v>
      </c>
      <c r="AP3" s="57" t="n">
        <v>15</v>
      </c>
      <c r="AQ3" s="57" t="n">
        <v>16</v>
      </c>
      <c r="AR3" s="57" t="n">
        <v>17</v>
      </c>
      <c r="AS3" s="60" t="n">
        <v>18</v>
      </c>
      <c r="AT3" s="57" t="n">
        <v>19</v>
      </c>
      <c r="AU3" s="58" t="n">
        <v>20</v>
      </c>
      <c r="AV3" s="58" t="n">
        <v>21</v>
      </c>
      <c r="AW3" s="57" t="n">
        <v>22</v>
      </c>
      <c r="AX3" s="57" t="n">
        <v>23</v>
      </c>
      <c r="AY3" s="57" t="n">
        <v>24</v>
      </c>
      <c r="AZ3" s="57" t="n">
        <v>25</v>
      </c>
      <c r="BA3" s="57" t="n">
        <v>26</v>
      </c>
      <c r="BB3" s="58" t="n">
        <v>27</v>
      </c>
      <c r="BC3" s="58" t="n">
        <v>28</v>
      </c>
      <c r="BD3" s="57" t="n">
        <v>29</v>
      </c>
      <c r="BE3" s="57" t="n">
        <v>30</v>
      </c>
      <c r="BF3" s="57" t="n">
        <v>31</v>
      </c>
      <c r="BG3" s="922"/>
      <c r="BH3" s="939"/>
      <c r="BI3" s="922"/>
      <c r="BJ3" s="942"/>
      <c r="BK3" s="966"/>
    </row>
    <row r="4" s="274" customFormat="1" ht="14.25" customHeight="1">
      <c r="A4" s="930" t="s">
        <v>1124</v>
      </c>
      <c r="B4" s="943" t="s">
        <v>1125</v>
      </c>
      <c r="C4" s="275" t="s">
        <v>1126</v>
      </c>
      <c r="D4" s="276"/>
      <c r="E4" s="277"/>
      <c r="F4" s="277"/>
      <c r="G4" s="276"/>
      <c r="H4" s="278"/>
      <c r="I4" s="279" t="s">
        <v>1127</v>
      </c>
      <c r="J4" s="276"/>
      <c r="K4" s="276"/>
      <c r="L4" s="277"/>
      <c r="M4" s="277"/>
      <c r="N4" s="276"/>
      <c r="O4" s="276"/>
      <c r="P4" s="276"/>
      <c r="Q4" s="276"/>
      <c r="R4" s="276"/>
      <c r="S4" s="277"/>
      <c r="T4" s="277"/>
      <c r="U4" s="276"/>
      <c r="V4" s="276"/>
      <c r="W4" s="276"/>
      <c r="X4" s="276"/>
      <c r="Y4" s="276"/>
      <c r="Z4" s="277"/>
      <c r="AA4" s="277"/>
      <c r="AB4" s="276"/>
      <c r="AC4" s="276"/>
      <c r="AD4" s="280"/>
      <c r="AE4" s="276"/>
      <c r="AF4" s="276"/>
      <c r="AG4" s="277"/>
      <c r="AH4" s="277"/>
      <c r="AI4" s="276"/>
      <c r="AJ4" s="276"/>
      <c r="AK4" s="276"/>
      <c r="AL4" s="276"/>
      <c r="AM4" s="276"/>
      <c r="AN4" s="277"/>
      <c r="AO4" s="277"/>
      <c r="AP4" s="276"/>
      <c r="AQ4" s="276"/>
      <c r="AR4" s="276"/>
      <c r="AS4" s="281"/>
      <c r="AT4" s="276"/>
      <c r="AU4" s="277"/>
      <c r="AV4" s="277"/>
      <c r="AW4" s="276"/>
      <c r="AX4" s="276"/>
      <c r="AY4" s="276"/>
      <c r="AZ4" s="276"/>
      <c r="BA4" s="276"/>
      <c r="BB4" s="277"/>
      <c r="BC4" s="277"/>
      <c r="BD4" s="276"/>
      <c r="BE4" s="276"/>
      <c r="BF4" s="276"/>
      <c r="BG4" s="276" t="s">
        <v>1128</v>
      </c>
      <c r="BH4" s="282" t="n">
        <v>46155</v>
      </c>
      <c r="BI4" s="282" t="n">
        <v>46157</v>
      </c>
      <c r="BJ4" s="283" t="n">
        <v>1</v>
      </c>
      <c r="BK4" s="284" t="s">
        <v>233</v>
      </c>
    </row>
    <row r="5" s="274" customFormat="1" ht="14.25" customHeight="1">
      <c r="A5" s="931"/>
      <c r="B5" s="943"/>
      <c r="C5" s="285" t="s">
        <v>1129</v>
      </c>
      <c r="D5" s="276"/>
      <c r="E5" s="277"/>
      <c r="F5" s="277"/>
      <c r="G5" s="276"/>
      <c r="H5" s="276"/>
      <c r="I5" s="276"/>
      <c r="J5" s="276"/>
      <c r="K5" s="276"/>
      <c r="L5" s="277"/>
      <c r="M5" s="277"/>
      <c r="N5" s="276"/>
      <c r="O5" s="276"/>
      <c r="P5" s="276"/>
      <c r="Q5" s="276"/>
      <c r="R5" s="276"/>
      <c r="S5" s="277"/>
      <c r="T5" s="277"/>
      <c r="U5" s="286" t="s">
        <v>1127</v>
      </c>
      <c r="V5" s="276"/>
      <c r="W5" s="276"/>
      <c r="X5" s="276"/>
      <c r="Y5" s="276"/>
      <c r="Z5" s="277"/>
      <c r="AA5" s="277"/>
      <c r="AB5" s="276"/>
      <c r="AC5" s="276"/>
      <c r="AD5" s="280"/>
      <c r="AE5" s="276"/>
      <c r="AF5" s="286"/>
      <c r="AG5" s="277"/>
      <c r="AH5" s="277"/>
      <c r="AI5" s="276"/>
      <c r="AJ5" s="276"/>
      <c r="AK5" s="276"/>
      <c r="AL5" s="276"/>
      <c r="AM5" s="276"/>
      <c r="AN5" s="277"/>
      <c r="AO5" s="277"/>
      <c r="AP5" s="276"/>
      <c r="AQ5" s="276"/>
      <c r="AR5" s="276"/>
      <c r="AS5" s="281"/>
      <c r="AT5" s="276"/>
      <c r="AU5" s="277"/>
      <c r="AV5" s="287"/>
      <c r="AW5" s="288"/>
      <c r="AX5" s="288"/>
      <c r="AY5" s="288"/>
      <c r="AZ5" s="288"/>
      <c r="BA5" s="288"/>
      <c r="BB5" s="287"/>
      <c r="BC5" s="287"/>
      <c r="BD5" s="288"/>
      <c r="BE5" s="288"/>
      <c r="BF5" s="276"/>
      <c r="BG5" s="276" t="s">
        <v>1128</v>
      </c>
      <c r="BH5" s="282" t="n">
        <v>46167</v>
      </c>
      <c r="BI5" s="289" t="n">
        <v>46162</v>
      </c>
      <c r="BJ5" s="290" t="n">
        <v>1</v>
      </c>
      <c r="BK5" s="284" t="s">
        <v>233</v>
      </c>
    </row>
    <row r="6" s="274" customFormat="1" ht="14.25" customHeight="1">
      <c r="A6" s="931"/>
      <c r="B6" s="943"/>
      <c r="C6" s="285" t="s">
        <v>623</v>
      </c>
      <c r="D6" s="276"/>
      <c r="E6" s="277"/>
      <c r="F6" s="277"/>
      <c r="G6" s="276"/>
      <c r="H6" s="286" t="s">
        <v>1127</v>
      </c>
      <c r="I6" s="281"/>
      <c r="J6" s="276"/>
      <c r="K6" s="276"/>
      <c r="L6" s="277"/>
      <c r="M6" s="277"/>
      <c r="N6" s="276"/>
      <c r="O6" s="276"/>
      <c r="P6" s="276"/>
      <c r="Q6" s="276"/>
      <c r="R6" s="276"/>
      <c r="S6" s="277"/>
      <c r="T6" s="277"/>
      <c r="U6" s="276"/>
      <c r="V6" s="276"/>
      <c r="W6" s="276"/>
      <c r="X6" s="276"/>
      <c r="Y6" s="276"/>
      <c r="Z6" s="277"/>
      <c r="AA6" s="277"/>
      <c r="AB6" s="276"/>
      <c r="AC6" s="276"/>
      <c r="AD6" s="280"/>
      <c r="AE6" s="276"/>
      <c r="AF6" s="276"/>
      <c r="AG6" s="277"/>
      <c r="AH6" s="277"/>
      <c r="AI6" s="276"/>
      <c r="AJ6" s="276"/>
      <c r="AK6" s="276"/>
      <c r="AL6" s="276"/>
      <c r="AM6" s="276"/>
      <c r="AN6" s="277"/>
      <c r="AO6" s="277"/>
      <c r="AP6" s="276"/>
      <c r="AQ6" s="276"/>
      <c r="AR6" s="276"/>
      <c r="AS6" s="281"/>
      <c r="AT6" s="276"/>
      <c r="AU6" s="277"/>
      <c r="AV6" s="287"/>
      <c r="AW6" s="288"/>
      <c r="AX6" s="288"/>
      <c r="AY6" s="288"/>
      <c r="AZ6" s="288"/>
      <c r="BA6" s="288"/>
      <c r="BB6" s="287"/>
      <c r="BC6" s="287"/>
      <c r="BD6" s="288"/>
      <c r="BE6" s="288"/>
      <c r="BF6" s="276"/>
      <c r="BG6" s="276" t="s">
        <v>1128</v>
      </c>
      <c r="BH6" s="282" t="n">
        <v>46154</v>
      </c>
      <c r="BI6" s="282" t="n">
        <v>46156</v>
      </c>
      <c r="BJ6" s="290" t="n">
        <v>1</v>
      </c>
      <c r="BK6" s="284" t="s">
        <v>233</v>
      </c>
    </row>
    <row r="7" s="274" customFormat="1" ht="27.75" customHeight="1">
      <c r="A7" s="931"/>
      <c r="B7" s="943"/>
      <c r="C7" s="285" t="s">
        <v>621</v>
      </c>
      <c r="D7" s="276"/>
      <c r="E7" s="277"/>
      <c r="F7" s="277"/>
      <c r="G7" s="276"/>
      <c r="H7" s="286"/>
      <c r="I7" s="276"/>
      <c r="J7" s="291" t="s">
        <v>1127</v>
      </c>
      <c r="K7" s="278"/>
      <c r="L7" s="277"/>
      <c r="M7" s="277"/>
      <c r="N7" s="276"/>
      <c r="O7" s="276"/>
      <c r="P7" s="276"/>
      <c r="Q7" s="276"/>
      <c r="R7" s="276"/>
      <c r="S7" s="277"/>
      <c r="T7" s="277"/>
      <c r="U7" s="276"/>
      <c r="V7" s="276"/>
      <c r="W7" s="276"/>
      <c r="X7" s="276"/>
      <c r="Y7" s="276"/>
      <c r="Z7" s="277"/>
      <c r="AA7" s="277"/>
      <c r="AB7" s="276"/>
      <c r="AC7" s="276"/>
      <c r="AD7" s="280"/>
      <c r="AE7" s="276"/>
      <c r="AF7" s="276"/>
      <c r="AG7" s="277"/>
      <c r="AH7" s="277"/>
      <c r="AI7" s="276"/>
      <c r="AJ7" s="276"/>
      <c r="AK7" s="276"/>
      <c r="AL7" s="276"/>
      <c r="AM7" s="276"/>
      <c r="AN7" s="277"/>
      <c r="AO7" s="277"/>
      <c r="AP7" s="276"/>
      <c r="AQ7" s="276"/>
      <c r="AR7" s="276"/>
      <c r="AS7" s="281"/>
      <c r="AT7" s="276"/>
      <c r="AU7" s="277"/>
      <c r="AV7" s="287"/>
      <c r="AW7" s="288"/>
      <c r="AX7" s="288"/>
      <c r="AY7" s="288"/>
      <c r="AZ7" s="288"/>
      <c r="BA7" s="288"/>
      <c r="BB7" s="287"/>
      <c r="BC7" s="287"/>
      <c r="BD7" s="288"/>
      <c r="BE7" s="288"/>
      <c r="BF7" s="276"/>
      <c r="BG7" s="276" t="s">
        <v>1128</v>
      </c>
      <c r="BH7" s="282" t="n">
        <v>46156</v>
      </c>
      <c r="BI7" s="282" t="n">
        <v>46160</v>
      </c>
      <c r="BJ7" s="290" t="n">
        <v>1</v>
      </c>
      <c r="BK7" s="284" t="s">
        <v>233</v>
      </c>
    </row>
    <row r="8" s="274" customFormat="1" ht="14.25" customHeight="1">
      <c r="A8" s="931"/>
      <c r="B8" s="943"/>
      <c r="C8" s="292" t="s">
        <v>644</v>
      </c>
      <c r="D8" s="276"/>
      <c r="E8" s="277"/>
      <c r="F8" s="277"/>
      <c r="G8" s="276"/>
      <c r="H8" s="276"/>
      <c r="I8" s="276"/>
      <c r="J8" s="276"/>
      <c r="K8" s="276"/>
      <c r="L8" s="277"/>
      <c r="M8" s="277"/>
      <c r="N8" s="276"/>
      <c r="O8" s="276"/>
      <c r="P8" s="279" t="s">
        <v>1127</v>
      </c>
      <c r="Q8" s="276"/>
      <c r="R8" s="276"/>
      <c r="S8" s="277"/>
      <c r="T8" s="277"/>
      <c r="U8" s="276"/>
      <c r="V8" s="276"/>
      <c r="W8" s="276"/>
      <c r="X8" s="276"/>
      <c r="Y8" s="276"/>
      <c r="Z8" s="277"/>
      <c r="AA8" s="277"/>
      <c r="AB8" s="276"/>
      <c r="AC8" s="276"/>
      <c r="AD8" s="280"/>
      <c r="AE8" s="276"/>
      <c r="AF8" s="276"/>
      <c r="AG8" s="277"/>
      <c r="AH8" s="277"/>
      <c r="AI8" s="276"/>
      <c r="AJ8" s="276"/>
      <c r="AK8" s="276"/>
      <c r="AL8" s="276"/>
      <c r="AM8" s="276"/>
      <c r="AN8" s="277"/>
      <c r="AO8" s="277"/>
      <c r="AP8" s="276"/>
      <c r="AQ8" s="276"/>
      <c r="AR8" s="276"/>
      <c r="AS8" s="281"/>
      <c r="AT8" s="276"/>
      <c r="AU8" s="277"/>
      <c r="AV8" s="277"/>
      <c r="AW8" s="276"/>
      <c r="AX8" s="276"/>
      <c r="AY8" s="276"/>
      <c r="AZ8" s="276"/>
      <c r="BA8" s="276"/>
      <c r="BB8" s="277"/>
      <c r="BC8" s="277"/>
      <c r="BD8" s="276"/>
      <c r="BE8" s="276"/>
      <c r="BF8" s="276"/>
      <c r="BG8" s="276" t="s">
        <v>1128</v>
      </c>
      <c r="BH8" s="282" t="n">
        <v>46167</v>
      </c>
      <c r="BI8" s="282" t="n">
        <v>46164</v>
      </c>
      <c r="BJ8" s="290" t="n">
        <v>1</v>
      </c>
      <c r="BK8" s="284" t="s">
        <v>233</v>
      </c>
    </row>
    <row r="9" ht="27.75" customHeight="1">
      <c r="A9" s="932"/>
      <c r="B9" s="944"/>
      <c r="C9" s="65" t="s">
        <v>1130</v>
      </c>
      <c r="D9" s="61"/>
      <c r="E9" s="62"/>
      <c r="F9" s="62"/>
      <c r="G9" s="61"/>
      <c r="H9" s="61"/>
      <c r="I9" s="61"/>
      <c r="J9" s="61"/>
      <c r="K9" s="61"/>
      <c r="L9" s="62"/>
      <c r="M9" s="62"/>
      <c r="N9" s="61"/>
      <c r="O9" s="61"/>
      <c r="P9" s="61"/>
      <c r="Q9" s="61"/>
      <c r="R9" s="61"/>
      <c r="S9" s="62"/>
      <c r="T9" s="62"/>
      <c r="U9" s="61"/>
      <c r="V9" s="61"/>
      <c r="W9" s="61"/>
      <c r="X9" s="61"/>
      <c r="Y9" s="61"/>
      <c r="Z9" s="62"/>
      <c r="AA9" s="62"/>
      <c r="AB9" s="61"/>
      <c r="AC9" s="61"/>
      <c r="AD9" s="270"/>
      <c r="AE9" s="61"/>
      <c r="AF9" s="61"/>
      <c r="AG9" s="62"/>
      <c r="AH9" s="62"/>
      <c r="AI9" s="61"/>
      <c r="AJ9" s="61"/>
      <c r="AK9" s="61"/>
      <c r="AL9" s="61"/>
      <c r="AM9" s="61"/>
      <c r="AN9" s="62"/>
      <c r="AO9" s="62"/>
      <c r="AP9" s="67" t="s">
        <v>1127</v>
      </c>
      <c r="AQ9" s="61"/>
      <c r="AR9" s="61"/>
      <c r="AS9" s="251"/>
      <c r="AT9" s="61"/>
      <c r="AU9" s="62"/>
      <c r="AV9" s="62"/>
      <c r="AW9" s="61"/>
      <c r="AX9" s="61"/>
      <c r="AY9" s="61"/>
      <c r="AZ9" s="61"/>
      <c r="BA9" s="61"/>
      <c r="BB9" s="62"/>
      <c r="BC9" s="62"/>
      <c r="BD9" s="61"/>
      <c r="BE9" s="61"/>
      <c r="BF9" s="61"/>
      <c r="BG9" s="61" t="s">
        <v>1128</v>
      </c>
      <c r="BH9" s="63" t="n">
        <v>46213</v>
      </c>
      <c r="BI9" s="69"/>
      <c r="BJ9" s="68" t="n">
        <v>0.7</v>
      </c>
      <c r="BK9" s="444" t="s">
        <v>1131</v>
      </c>
    </row>
    <row r="10" ht="14.25" customHeight="1">
      <c r="A10" s="932"/>
      <c r="B10" s="944"/>
      <c r="C10" s="65" t="s">
        <v>1132</v>
      </c>
      <c r="D10" s="61"/>
      <c r="E10" s="62"/>
      <c r="F10" s="62"/>
      <c r="G10" s="61"/>
      <c r="H10" s="61"/>
      <c r="I10" s="61"/>
      <c r="J10" s="61"/>
      <c r="K10" s="61"/>
      <c r="L10" s="62"/>
      <c r="M10" s="62"/>
      <c r="N10" s="61"/>
      <c r="O10" s="61"/>
      <c r="P10" s="61"/>
      <c r="Q10" s="61"/>
      <c r="R10" s="61"/>
      <c r="S10" s="62"/>
      <c r="T10" s="62"/>
      <c r="U10" s="61"/>
      <c r="V10" s="61"/>
      <c r="W10" s="61"/>
      <c r="X10" s="61"/>
      <c r="Y10" s="61"/>
      <c r="Z10" s="62"/>
      <c r="AA10" s="62"/>
      <c r="AB10" s="61"/>
      <c r="AC10" s="61"/>
      <c r="AD10" s="270"/>
      <c r="AE10" s="61"/>
      <c r="AF10" s="61"/>
      <c r="AG10" s="62"/>
      <c r="AH10" s="62"/>
      <c r="AI10" s="61"/>
      <c r="AJ10" s="61"/>
      <c r="AK10" s="61"/>
      <c r="AL10" s="61"/>
      <c r="AM10" s="61"/>
      <c r="AN10" s="62"/>
      <c r="AO10" s="62"/>
      <c r="AP10" s="67" t="s">
        <v>1127</v>
      </c>
      <c r="AQ10" s="61"/>
      <c r="AR10" s="70"/>
      <c r="AS10" s="251"/>
      <c r="AT10" s="61"/>
      <c r="AU10" s="62"/>
      <c r="AV10" s="66"/>
      <c r="AW10" s="67"/>
      <c r="AX10" s="67"/>
      <c r="AY10" s="67"/>
      <c r="AZ10" s="67"/>
      <c r="BA10" s="67"/>
      <c r="BB10" s="66"/>
      <c r="BC10" s="66"/>
      <c r="BD10" s="67"/>
      <c r="BE10" s="67"/>
      <c r="BF10" s="61"/>
      <c r="BG10" s="61" t="s">
        <v>1128</v>
      </c>
      <c r="BH10" s="63" t="n">
        <v>46213</v>
      </c>
      <c r="BI10" s="69"/>
      <c r="BJ10" s="68" t="n">
        <v>0.8</v>
      </c>
      <c r="BK10" s="64" t="s">
        <v>264</v>
      </c>
    </row>
    <row r="11" s="424" customFormat="1" ht="27.75" customHeight="1">
      <c r="A11" s="931"/>
      <c r="B11" s="943"/>
      <c r="C11" s="402" t="s">
        <v>1133</v>
      </c>
      <c r="D11" s="403"/>
      <c r="E11" s="404"/>
      <c r="F11" s="404"/>
      <c r="G11" s="403"/>
      <c r="H11" s="403"/>
      <c r="I11" s="403"/>
      <c r="J11" s="403"/>
      <c r="K11" s="403"/>
      <c r="L11" s="404"/>
      <c r="M11" s="404"/>
      <c r="N11" s="403"/>
      <c r="O11" s="403"/>
      <c r="P11" s="403"/>
      <c r="Q11" s="403"/>
      <c r="R11" s="403"/>
      <c r="S11" s="404"/>
      <c r="T11" s="404"/>
      <c r="U11" s="403"/>
      <c r="V11" s="403"/>
      <c r="W11" s="403"/>
      <c r="X11" s="403"/>
      <c r="Y11" s="403"/>
      <c r="Z11" s="404"/>
      <c r="AA11" s="404"/>
      <c r="AB11" s="403"/>
      <c r="AC11" s="403"/>
      <c r="AD11" s="405"/>
      <c r="AE11" s="403"/>
      <c r="AF11" s="403"/>
      <c r="AG11" s="404"/>
      <c r="AH11" s="404"/>
      <c r="AI11" s="403"/>
      <c r="AJ11" s="403"/>
      <c r="AK11" s="403"/>
      <c r="AL11" s="403"/>
      <c r="AM11" s="403"/>
      <c r="AN11" s="404"/>
      <c r="AO11" s="404"/>
      <c r="AP11" s="406"/>
      <c r="AQ11" s="407"/>
      <c r="AR11" s="408"/>
      <c r="AS11" s="409"/>
      <c r="AT11" s="410"/>
      <c r="AU11" s="404"/>
      <c r="AV11" s="411"/>
      <c r="AW11" s="406"/>
      <c r="AX11" s="406"/>
      <c r="AY11" s="406"/>
      <c r="AZ11" s="406"/>
      <c r="BA11" s="406"/>
      <c r="BB11" s="411"/>
      <c r="BC11" s="411"/>
      <c r="BD11" s="406"/>
      <c r="BE11" s="406"/>
      <c r="BF11" s="403"/>
      <c r="BG11" s="408" t="s">
        <v>1128</v>
      </c>
      <c r="BH11" s="412" t="n">
        <v>46192</v>
      </c>
      <c r="BI11" s="412" t="n">
        <v>46191</v>
      </c>
      <c r="BJ11" s="413" t="n">
        <v>1</v>
      </c>
      <c r="BK11" s="414" t="s">
        <v>1134</v>
      </c>
    </row>
    <row r="12" s="274" customFormat="1" ht="86.25" customHeight="1">
      <c r="A12" s="931"/>
      <c r="B12" s="943"/>
      <c r="C12" s="293" t="s">
        <v>1135</v>
      </c>
      <c r="D12" s="294"/>
      <c r="E12" s="295"/>
      <c r="F12" s="295"/>
      <c r="G12" s="294"/>
      <c r="H12" s="294"/>
      <c r="I12" s="294"/>
      <c r="J12" s="294"/>
      <c r="K12" s="294"/>
      <c r="L12" s="295"/>
      <c r="M12" s="295"/>
      <c r="N12" s="294"/>
      <c r="O12" s="294"/>
      <c r="P12" s="291" t="s">
        <v>1127</v>
      </c>
      <c r="Q12" s="294"/>
      <c r="R12" s="294"/>
      <c r="S12" s="295"/>
      <c r="T12" s="295"/>
      <c r="U12" s="294"/>
      <c r="V12" s="294"/>
      <c r="W12" s="294"/>
      <c r="X12" s="294"/>
      <c r="Y12" s="294"/>
      <c r="Z12" s="295"/>
      <c r="AA12" s="295"/>
      <c r="AB12" s="294"/>
      <c r="AC12" s="294"/>
      <c r="AD12" s="296"/>
      <c r="AE12" s="294"/>
      <c r="AF12" s="294"/>
      <c r="AG12" s="295"/>
      <c r="AH12" s="295"/>
      <c r="AI12" s="294"/>
      <c r="AJ12" s="294"/>
      <c r="AK12" s="294"/>
      <c r="AL12" s="294"/>
      <c r="AM12" s="294"/>
      <c r="AN12" s="295"/>
      <c r="AO12" s="295"/>
      <c r="AP12" s="297"/>
      <c r="AQ12" s="298"/>
      <c r="AR12" s="299"/>
      <c r="AS12" s="281"/>
      <c r="AT12" s="300"/>
      <c r="AU12" s="295"/>
      <c r="AV12" s="295"/>
      <c r="AW12" s="294"/>
      <c r="AX12" s="294"/>
      <c r="AY12" s="294"/>
      <c r="AZ12" s="294"/>
      <c r="BA12" s="294"/>
      <c r="BB12" s="295"/>
      <c r="BC12" s="295"/>
      <c r="BD12" s="294"/>
      <c r="BE12" s="294"/>
      <c r="BF12" s="294"/>
      <c r="BG12" s="1166" t="s">
        <v>1136</v>
      </c>
      <c r="BH12" s="282" t="n">
        <v>46156</v>
      </c>
      <c r="BI12" s="282" t="n">
        <v>46156</v>
      </c>
      <c r="BJ12" s="301" t="n">
        <v>1</v>
      </c>
      <c r="BK12" s="302" t="s">
        <v>1137</v>
      </c>
    </row>
    <row r="13" s="372" customFormat="1" ht="189.75" customHeight="1">
      <c r="A13" s="946" t="s">
        <v>1138</v>
      </c>
      <c r="B13" s="945" t="s">
        <v>1139</v>
      </c>
      <c r="C13" s="373" t="s">
        <v>1140</v>
      </c>
      <c r="D13" s="374"/>
      <c r="E13" s="375"/>
      <c r="F13" s="375"/>
      <c r="G13" s="374"/>
      <c r="H13" s="374"/>
      <c r="I13" s="374"/>
      <c r="J13" s="374"/>
      <c r="K13" s="374"/>
      <c r="L13" s="375"/>
      <c r="M13" s="375"/>
      <c r="N13" s="374"/>
      <c r="O13" s="374"/>
      <c r="P13" s="374"/>
      <c r="Q13" s="374"/>
      <c r="R13" s="374"/>
      <c r="S13" s="375"/>
      <c r="T13" s="375"/>
      <c r="U13" s="374"/>
      <c r="V13" s="374"/>
      <c r="W13" s="374"/>
      <c r="X13" s="374"/>
      <c r="Y13" s="374"/>
      <c r="Z13" s="375"/>
      <c r="AA13" s="375"/>
      <c r="AB13" s="374"/>
      <c r="AC13" s="374"/>
      <c r="AD13" s="376"/>
      <c r="AE13" s="374"/>
      <c r="AF13" s="374"/>
      <c r="AG13" s="375"/>
      <c r="AH13" s="375"/>
      <c r="AI13" s="374"/>
      <c r="AJ13" s="374"/>
      <c r="AK13" s="374"/>
      <c r="AL13" s="374"/>
      <c r="AM13" s="374"/>
      <c r="AN13" s="375"/>
      <c r="AO13" s="375"/>
      <c r="AP13" s="380" t="s">
        <v>1127</v>
      </c>
      <c r="AQ13" s="374"/>
      <c r="AR13" s="381"/>
      <c r="AS13" s="382"/>
      <c r="AT13" s="374"/>
      <c r="AU13" s="375"/>
      <c r="AV13" s="375"/>
      <c r="AW13" s="374"/>
      <c r="AX13" s="374"/>
      <c r="AY13" s="374"/>
      <c r="AZ13" s="374"/>
      <c r="BA13" s="374"/>
      <c r="BB13" s="375"/>
      <c r="BC13" s="375"/>
      <c r="BD13" s="374"/>
      <c r="BE13" s="374"/>
      <c r="BF13" s="374"/>
      <c r="BG13" s="374" t="s">
        <v>1141</v>
      </c>
      <c r="BH13" s="383" t="n">
        <v>46188</v>
      </c>
      <c r="BI13" s="383" t="n">
        <v>46186</v>
      </c>
      <c r="BJ13" s="384" t="n">
        <v>1</v>
      </c>
      <c r="BK13" s="385" t="s">
        <v>1142</v>
      </c>
    </row>
    <row r="14" s="361" customFormat="1" ht="48.75" customHeight="1">
      <c r="A14" s="947"/>
      <c r="B14" s="929"/>
      <c r="C14" s="386" t="s">
        <v>1143</v>
      </c>
      <c r="D14" s="377"/>
      <c r="E14" s="387"/>
      <c r="F14" s="387"/>
      <c r="G14" s="377"/>
      <c r="H14" s="377"/>
      <c r="I14" s="377"/>
      <c r="J14" s="377"/>
      <c r="K14" s="377"/>
      <c r="L14" s="387"/>
      <c r="M14" s="387"/>
      <c r="N14" s="377"/>
      <c r="O14" s="377"/>
      <c r="P14" s="377"/>
      <c r="Q14" s="377"/>
      <c r="R14" s="377"/>
      <c r="S14" s="387"/>
      <c r="T14" s="387"/>
      <c r="U14" s="377"/>
      <c r="V14" s="377"/>
      <c r="W14" s="377"/>
      <c r="X14" s="377"/>
      <c r="Y14" s="377"/>
      <c r="Z14" s="387"/>
      <c r="AA14" s="387"/>
      <c r="AB14" s="377"/>
      <c r="AC14" s="377"/>
      <c r="AD14" s="388"/>
      <c r="AE14" s="377"/>
      <c r="AF14" s="377"/>
      <c r="AG14" s="387"/>
      <c r="AH14" s="387"/>
      <c r="AI14" s="377"/>
      <c r="AJ14" s="377"/>
      <c r="AK14" s="377"/>
      <c r="AL14" s="377"/>
      <c r="AM14" s="377"/>
      <c r="AN14" s="387"/>
      <c r="AO14" s="387"/>
      <c r="AP14" s="377"/>
      <c r="AQ14" s="389" t="s">
        <v>1127</v>
      </c>
      <c r="AR14" s="377"/>
      <c r="AS14" s="390"/>
      <c r="AT14" s="377"/>
      <c r="AU14" s="387"/>
      <c r="AV14" s="387"/>
      <c r="AW14" s="377"/>
      <c r="AX14" s="377"/>
      <c r="AY14" s="377"/>
      <c r="AZ14" s="377"/>
      <c r="BA14" s="377"/>
      <c r="BB14" s="387"/>
      <c r="BC14" s="387"/>
      <c r="BD14" s="377"/>
      <c r="BE14" s="377"/>
      <c r="BF14" s="377"/>
      <c r="BG14" s="377" t="s">
        <v>1144</v>
      </c>
      <c r="BH14" s="378" t="n">
        <v>46189</v>
      </c>
      <c r="BI14" s="378" t="n">
        <v>46186</v>
      </c>
      <c r="BJ14" s="379" t="n">
        <v>1</v>
      </c>
      <c r="BK14" s="1167" t="s">
        <v>1145</v>
      </c>
    </row>
    <row r="15" s="274" customFormat="1" ht="27.75" customHeight="1">
      <c r="A15" s="947"/>
      <c r="B15" s="926" t="s">
        <v>1146</v>
      </c>
      <c r="C15" s="303" t="s">
        <v>1147</v>
      </c>
      <c r="D15" s="276"/>
      <c r="E15" s="277"/>
      <c r="F15" s="287"/>
      <c r="G15" s="286"/>
      <c r="H15" s="286"/>
      <c r="I15" s="286"/>
      <c r="J15" s="286"/>
      <c r="K15" s="286" t="s">
        <v>1127</v>
      </c>
      <c r="L15" s="287"/>
      <c r="M15" s="287"/>
      <c r="N15" s="286"/>
      <c r="O15" s="286"/>
      <c r="P15" s="286"/>
      <c r="Q15" s="286"/>
      <c r="R15" s="286"/>
      <c r="S15" s="287"/>
      <c r="T15" s="287"/>
      <c r="U15" s="286"/>
      <c r="V15" s="286"/>
      <c r="W15" s="286"/>
      <c r="X15" s="286"/>
      <c r="Y15" s="286"/>
      <c r="Z15" s="287"/>
      <c r="AA15" s="287"/>
      <c r="AB15" s="276"/>
      <c r="AC15" s="304"/>
      <c r="AD15" s="280"/>
      <c r="AE15" s="304"/>
      <c r="AF15" s="276"/>
      <c r="AG15" s="305"/>
      <c r="AH15" s="277"/>
      <c r="AI15" s="304"/>
      <c r="AJ15" s="276"/>
      <c r="AK15" s="304"/>
      <c r="AL15" s="276"/>
      <c r="AM15" s="304"/>
      <c r="AN15" s="277"/>
      <c r="AO15" s="305"/>
      <c r="AP15" s="276"/>
      <c r="AQ15" s="304"/>
      <c r="AR15" s="276"/>
      <c r="AS15" s="306"/>
      <c r="AT15" s="276"/>
      <c r="AU15" s="305"/>
      <c r="AV15" s="277"/>
      <c r="AW15" s="304"/>
      <c r="AX15" s="276"/>
      <c r="AY15" s="304"/>
      <c r="AZ15" s="276"/>
      <c r="BA15" s="304"/>
      <c r="BB15" s="277"/>
      <c r="BC15" s="305"/>
      <c r="BD15" s="276"/>
      <c r="BE15" s="304"/>
      <c r="BF15" s="286"/>
      <c r="BG15" s="276" t="s">
        <v>1148</v>
      </c>
      <c r="BH15" s="282" t="n">
        <v>46157</v>
      </c>
      <c r="BI15" s="282" t="n">
        <v>46157</v>
      </c>
      <c r="BJ15" s="290" t="n">
        <v>1</v>
      </c>
      <c r="BK15" s="284"/>
    </row>
    <row r="16" s="274" customFormat="1" ht="43.5" customHeight="1">
      <c r="A16" s="947"/>
      <c r="B16" s="927"/>
      <c r="C16" s="303" t="s">
        <v>1149</v>
      </c>
      <c r="D16" s="276"/>
      <c r="E16" s="277"/>
      <c r="F16" s="277"/>
      <c r="G16" s="276"/>
      <c r="H16" s="276"/>
      <c r="I16" s="276"/>
      <c r="J16" s="276"/>
      <c r="K16" s="276"/>
      <c r="L16" s="277"/>
      <c r="M16" s="277"/>
      <c r="N16" s="276"/>
      <c r="O16" s="307"/>
      <c r="P16" s="276"/>
      <c r="Q16" s="286" t="s">
        <v>1127</v>
      </c>
      <c r="R16" s="276"/>
      <c r="S16" s="277"/>
      <c r="T16" s="277"/>
      <c r="U16" s="276"/>
      <c r="V16" s="276"/>
      <c r="W16" s="276"/>
      <c r="X16" s="276"/>
      <c r="Y16" s="276"/>
      <c r="Z16" s="277"/>
      <c r="AA16" s="277"/>
      <c r="AB16" s="276"/>
      <c r="AC16" s="276"/>
      <c r="AD16" s="280"/>
      <c r="AE16" s="276"/>
      <c r="AF16" s="276"/>
      <c r="AG16" s="277"/>
      <c r="AH16" s="277"/>
      <c r="AI16" s="276"/>
      <c r="AJ16" s="276"/>
      <c r="AK16" s="276"/>
      <c r="AL16" s="276"/>
      <c r="AM16" s="276"/>
      <c r="AN16" s="277"/>
      <c r="AO16" s="277"/>
      <c r="AP16" s="276"/>
      <c r="AQ16" s="276"/>
      <c r="AR16" s="276"/>
      <c r="AS16" s="281"/>
      <c r="AT16" s="276"/>
      <c r="AU16" s="277"/>
      <c r="AV16" s="277"/>
      <c r="AW16" s="276"/>
      <c r="AX16" s="276"/>
      <c r="AY16" s="276"/>
      <c r="AZ16" s="276"/>
      <c r="BA16" s="276"/>
      <c r="BB16" s="277"/>
      <c r="BC16" s="277"/>
      <c r="BD16" s="276"/>
      <c r="BE16" s="276"/>
      <c r="BF16" s="276"/>
      <c r="BG16" s="276" t="s">
        <v>1148</v>
      </c>
      <c r="BH16" s="282" t="n">
        <v>46163</v>
      </c>
      <c r="BI16" s="282" t="n">
        <v>46163</v>
      </c>
      <c r="BJ16" s="290" t="n">
        <v>1</v>
      </c>
      <c r="BK16" s="284" t="s">
        <v>1150</v>
      </c>
    </row>
    <row r="17" s="348" customFormat="1" ht="68.25" customHeight="1">
      <c r="A17" s="947"/>
      <c r="B17" s="929"/>
      <c r="C17" s="349" t="s">
        <v>1151</v>
      </c>
      <c r="D17" s="350"/>
      <c r="E17" s="351"/>
      <c r="F17" s="351"/>
      <c r="G17" s="350"/>
      <c r="H17" s="350"/>
      <c r="I17" s="350"/>
      <c r="J17" s="350"/>
      <c r="K17" s="350"/>
      <c r="L17" s="351"/>
      <c r="M17" s="351"/>
      <c r="N17" s="350"/>
      <c r="O17" s="350"/>
      <c r="P17" s="350"/>
      <c r="Q17" s="350"/>
      <c r="R17" s="350"/>
      <c r="S17" s="351"/>
      <c r="T17" s="351"/>
      <c r="U17" s="350"/>
      <c r="V17" s="350"/>
      <c r="W17" s="350"/>
      <c r="X17" s="350"/>
      <c r="Y17" s="350"/>
      <c r="Z17" s="351"/>
      <c r="AA17" s="351"/>
      <c r="AB17" s="350"/>
      <c r="AC17" s="350"/>
      <c r="AD17" s="352"/>
      <c r="AE17" s="350"/>
      <c r="AF17" s="350"/>
      <c r="AG17" s="351"/>
      <c r="AH17" s="351"/>
      <c r="AI17" s="353"/>
      <c r="AJ17" s="350"/>
      <c r="AK17" s="350"/>
      <c r="AL17" s="350"/>
      <c r="AM17" s="350"/>
      <c r="AN17" s="351"/>
      <c r="AO17" s="351"/>
      <c r="AP17" s="353" t="s">
        <v>1127</v>
      </c>
      <c r="AQ17" s="354"/>
      <c r="AR17" s="350"/>
      <c r="AS17" s="355"/>
      <c r="AT17" s="350"/>
      <c r="AU17" s="351"/>
      <c r="AV17" s="351"/>
      <c r="AW17" s="350"/>
      <c r="AX17" s="350"/>
      <c r="AY17" s="350"/>
      <c r="AZ17" s="350"/>
      <c r="BA17" s="350"/>
      <c r="BB17" s="351"/>
      <c r="BC17" s="351"/>
      <c r="BD17" s="350"/>
      <c r="BE17" s="350"/>
      <c r="BF17" s="350"/>
      <c r="BG17" s="350" t="s">
        <v>1148</v>
      </c>
      <c r="BH17" s="356" t="n">
        <v>46188</v>
      </c>
      <c r="BI17" s="356" t="n">
        <v>46183</v>
      </c>
      <c r="BJ17" s="357" t="n">
        <v>1</v>
      </c>
      <c r="BK17" s="358" t="s">
        <v>1152</v>
      </c>
    </row>
    <row r="18" s="274" customFormat="1" ht="27.75" customHeight="1">
      <c r="A18" s="947"/>
      <c r="B18" s="958" t="s">
        <v>1153</v>
      </c>
      <c r="C18" s="308" t="s">
        <v>1154</v>
      </c>
      <c r="D18" s="276"/>
      <c r="E18" s="287" t="s">
        <v>1127</v>
      </c>
      <c r="F18" s="277"/>
      <c r="G18" s="276"/>
      <c r="H18" s="276"/>
      <c r="I18" s="276"/>
      <c r="J18" s="276"/>
      <c r="K18" s="276"/>
      <c r="L18" s="277"/>
      <c r="M18" s="277"/>
      <c r="N18" s="276"/>
      <c r="O18" s="276"/>
      <c r="P18" s="276"/>
      <c r="Q18" s="276"/>
      <c r="R18" s="276"/>
      <c r="S18" s="277"/>
      <c r="T18" s="277"/>
      <c r="U18" s="276"/>
      <c r="V18" s="276"/>
      <c r="W18" s="276"/>
      <c r="X18" s="276"/>
      <c r="Y18" s="276"/>
      <c r="Z18" s="277"/>
      <c r="AA18" s="277"/>
      <c r="AB18" s="286"/>
      <c r="AC18" s="276"/>
      <c r="AD18" s="280"/>
      <c r="AE18" s="276"/>
      <c r="AF18" s="276"/>
      <c r="AG18" s="277"/>
      <c r="AH18" s="277"/>
      <c r="AI18" s="276"/>
      <c r="AJ18" s="276"/>
      <c r="AK18" s="276"/>
      <c r="AL18" s="276"/>
      <c r="AM18" s="276"/>
      <c r="AN18" s="277"/>
      <c r="AO18" s="277"/>
      <c r="AP18" s="276"/>
      <c r="AQ18" s="276"/>
      <c r="AR18" s="276"/>
      <c r="AS18" s="281"/>
      <c r="AT18" s="276"/>
      <c r="AU18" s="277"/>
      <c r="AV18" s="277"/>
      <c r="AW18" s="276"/>
      <c r="AX18" s="276"/>
      <c r="AY18" s="276"/>
      <c r="AZ18" s="276"/>
      <c r="BA18" s="276"/>
      <c r="BB18" s="277"/>
      <c r="BC18" s="277"/>
      <c r="BD18" s="276"/>
      <c r="BE18" s="276"/>
      <c r="BF18" s="286"/>
      <c r="BG18" s="276" t="s">
        <v>1155</v>
      </c>
      <c r="BH18" s="282" t="n">
        <v>46151</v>
      </c>
      <c r="BI18" s="282" t="n">
        <v>46154</v>
      </c>
      <c r="BJ18" s="290" t="n">
        <v>1</v>
      </c>
      <c r="BK18" s="284" t="s">
        <v>1156</v>
      </c>
    </row>
    <row r="19" s="274" customFormat="1" ht="14.25" customHeight="1">
      <c r="A19" s="947"/>
      <c r="B19" s="959"/>
      <c r="C19" s="309" t="s">
        <v>1157</v>
      </c>
      <c r="D19" s="276"/>
      <c r="E19" s="287"/>
      <c r="F19" s="277"/>
      <c r="G19" s="276"/>
      <c r="H19" s="276"/>
      <c r="I19" s="279" t="s">
        <v>1127</v>
      </c>
      <c r="J19" s="276"/>
      <c r="K19" s="276"/>
      <c r="L19" s="277"/>
      <c r="M19" s="277"/>
      <c r="N19" s="276"/>
      <c r="O19" s="276"/>
      <c r="P19" s="276"/>
      <c r="Q19" s="276"/>
      <c r="R19" s="276"/>
      <c r="S19" s="277"/>
      <c r="T19" s="277"/>
      <c r="U19" s="276"/>
      <c r="V19" s="276"/>
      <c r="W19" s="276"/>
      <c r="X19" s="276"/>
      <c r="Y19" s="276"/>
      <c r="Z19" s="277"/>
      <c r="AA19" s="277"/>
      <c r="AB19" s="286"/>
      <c r="AC19" s="276"/>
      <c r="AD19" s="280"/>
      <c r="AE19" s="276"/>
      <c r="AF19" s="276"/>
      <c r="AG19" s="277"/>
      <c r="AH19" s="277"/>
      <c r="AI19" s="276"/>
      <c r="AJ19" s="276"/>
      <c r="AK19" s="276"/>
      <c r="AL19" s="276"/>
      <c r="AM19" s="276"/>
      <c r="AN19" s="277"/>
      <c r="AO19" s="277"/>
      <c r="AP19" s="276"/>
      <c r="AQ19" s="276"/>
      <c r="AR19" s="276"/>
      <c r="AS19" s="281"/>
      <c r="AT19" s="276"/>
      <c r="AU19" s="277"/>
      <c r="AV19" s="277"/>
      <c r="AW19" s="276"/>
      <c r="AX19" s="276"/>
      <c r="AY19" s="276"/>
      <c r="AZ19" s="276"/>
      <c r="BA19" s="276"/>
      <c r="BB19" s="277"/>
      <c r="BC19" s="277"/>
      <c r="BD19" s="276"/>
      <c r="BE19" s="276"/>
      <c r="BF19" s="286"/>
      <c r="BG19" s="276" t="s">
        <v>1155</v>
      </c>
      <c r="BH19" s="282" t="n">
        <v>46155</v>
      </c>
      <c r="BI19" s="282" t="n">
        <v>46155</v>
      </c>
      <c r="BJ19" s="290" t="n">
        <v>1</v>
      </c>
      <c r="BK19" s="284"/>
    </row>
    <row r="20" s="274" customFormat="1" ht="15.75" customHeight="1">
      <c r="A20" s="947"/>
      <c r="B20" s="959"/>
      <c r="C20" s="308" t="s">
        <v>1158</v>
      </c>
      <c r="D20" s="276"/>
      <c r="E20" s="277"/>
      <c r="F20" s="277"/>
      <c r="G20" s="276"/>
      <c r="H20" s="276"/>
      <c r="I20" s="276"/>
      <c r="J20" s="276"/>
      <c r="K20" s="276"/>
      <c r="L20" s="277"/>
      <c r="M20" s="277"/>
      <c r="N20" s="279" t="s">
        <v>1127</v>
      </c>
      <c r="O20" s="276"/>
      <c r="P20" s="276"/>
      <c r="Q20" s="276"/>
      <c r="R20" s="276"/>
      <c r="S20" s="277"/>
      <c r="T20" s="277"/>
      <c r="U20" s="276"/>
      <c r="V20" s="276"/>
      <c r="W20" s="276"/>
      <c r="X20" s="276"/>
      <c r="Y20" s="276"/>
      <c r="Z20" s="277"/>
      <c r="AA20" s="277"/>
      <c r="AB20" s="286"/>
      <c r="AC20" s="276"/>
      <c r="AD20" s="280"/>
      <c r="AE20" s="276"/>
      <c r="AF20" s="276"/>
      <c r="AG20" s="277"/>
      <c r="AH20" s="277"/>
      <c r="AI20" s="276"/>
      <c r="AJ20" s="276"/>
      <c r="AK20" s="276"/>
      <c r="AL20" s="276"/>
      <c r="AM20" s="276"/>
      <c r="AN20" s="277"/>
      <c r="AO20" s="277"/>
      <c r="AP20" s="276"/>
      <c r="AQ20" s="276"/>
      <c r="AR20" s="276"/>
      <c r="AS20" s="281"/>
      <c r="AT20" s="276"/>
      <c r="AU20" s="277"/>
      <c r="AV20" s="277"/>
      <c r="AW20" s="276"/>
      <c r="AX20" s="276"/>
      <c r="AY20" s="276"/>
      <c r="AZ20" s="276"/>
      <c r="BA20" s="276"/>
      <c r="BB20" s="277"/>
      <c r="BC20" s="277"/>
      <c r="BD20" s="276"/>
      <c r="BE20" s="276"/>
      <c r="BF20" s="286"/>
      <c r="BG20" s="276" t="s">
        <v>1155</v>
      </c>
      <c r="BH20" s="282" t="n">
        <v>46160</v>
      </c>
      <c r="BI20" s="282" t="n">
        <v>46160</v>
      </c>
      <c r="BJ20" s="290" t="n">
        <v>1</v>
      </c>
      <c r="BK20" s="284"/>
    </row>
    <row r="21" s="274" customFormat="1" ht="81.75" customHeight="1">
      <c r="A21" s="947"/>
      <c r="B21" s="959"/>
      <c r="C21" s="310" t="s">
        <v>1159</v>
      </c>
      <c r="D21" s="276"/>
      <c r="E21" s="277"/>
      <c r="F21" s="277"/>
      <c r="G21" s="276"/>
      <c r="H21" s="276"/>
      <c r="I21" s="276"/>
      <c r="J21" s="276"/>
      <c r="K21" s="276"/>
      <c r="L21" s="277"/>
      <c r="M21" s="277"/>
      <c r="N21" s="276"/>
      <c r="O21" s="276"/>
      <c r="P21" s="276"/>
      <c r="Q21" s="276"/>
      <c r="R21" s="276"/>
      <c r="S21" s="277"/>
      <c r="T21" s="277"/>
      <c r="U21" s="286"/>
      <c r="V21" s="276"/>
      <c r="W21" s="276"/>
      <c r="X21" s="276"/>
      <c r="Y21" s="276"/>
      <c r="Z21" s="277"/>
      <c r="AA21" s="277"/>
      <c r="AB21" s="286"/>
      <c r="AC21" s="276"/>
      <c r="AD21" s="280"/>
      <c r="AE21" s="286" t="s">
        <v>1127</v>
      </c>
      <c r="AF21" s="276"/>
      <c r="AG21" s="277"/>
      <c r="AH21" s="277"/>
      <c r="AI21" s="276"/>
      <c r="AJ21" s="276"/>
      <c r="AK21" s="276"/>
      <c r="AL21" s="276"/>
      <c r="AM21" s="276"/>
      <c r="AN21" s="277"/>
      <c r="AO21" s="277"/>
      <c r="AP21" s="276"/>
      <c r="AQ21" s="276"/>
      <c r="AR21" s="276"/>
      <c r="AS21" s="281"/>
      <c r="AT21" s="276"/>
      <c r="AU21" s="277"/>
      <c r="AV21" s="277"/>
      <c r="AW21" s="276"/>
      <c r="AX21" s="276"/>
      <c r="AY21" s="276"/>
      <c r="AZ21" s="276"/>
      <c r="BA21" s="276"/>
      <c r="BB21" s="277"/>
      <c r="BC21" s="277"/>
      <c r="BD21" s="276"/>
      <c r="BE21" s="276"/>
      <c r="BF21" s="276"/>
      <c r="BG21" s="276" t="s">
        <v>1160</v>
      </c>
      <c r="BH21" s="282" t="n">
        <v>46177</v>
      </c>
      <c r="BI21" s="289" t="n">
        <v>46175</v>
      </c>
      <c r="BJ21" s="290" t="n">
        <v>1</v>
      </c>
      <c r="BK21" s="284" t="s">
        <v>1161</v>
      </c>
    </row>
    <row r="22" s="424" customFormat="1" ht="42.75" customHeight="1">
      <c r="A22" s="947"/>
      <c r="B22" s="960"/>
      <c r="C22" s="415" t="s">
        <v>1162</v>
      </c>
      <c r="D22" s="408"/>
      <c r="E22" s="416"/>
      <c r="F22" s="416"/>
      <c r="G22" s="408"/>
      <c r="H22" s="408"/>
      <c r="I22" s="408"/>
      <c r="J22" s="408"/>
      <c r="K22" s="408"/>
      <c r="L22" s="416"/>
      <c r="M22" s="416"/>
      <c r="N22" s="408"/>
      <c r="O22" s="408"/>
      <c r="P22" s="408"/>
      <c r="Q22" s="408"/>
      <c r="R22" s="408"/>
      <c r="S22" s="416"/>
      <c r="T22" s="416"/>
      <c r="U22" s="408"/>
      <c r="V22" s="408"/>
      <c r="W22" s="408"/>
      <c r="X22" s="408"/>
      <c r="Y22" s="408"/>
      <c r="Z22" s="416"/>
      <c r="AA22" s="416"/>
      <c r="AB22" s="408"/>
      <c r="AC22" s="408"/>
      <c r="AD22" s="417"/>
      <c r="AE22" s="408"/>
      <c r="AF22" s="408"/>
      <c r="AG22" s="416"/>
      <c r="AH22" s="416"/>
      <c r="AI22" s="408"/>
      <c r="AJ22" s="408"/>
      <c r="AK22" s="408"/>
      <c r="AL22" s="408"/>
      <c r="AM22" s="408"/>
      <c r="AN22" s="416"/>
      <c r="AO22" s="416"/>
      <c r="AP22" s="418" t="s">
        <v>1127</v>
      </c>
      <c r="AQ22" s="408"/>
      <c r="AR22" s="408"/>
      <c r="AS22" s="419"/>
      <c r="AT22" s="408"/>
      <c r="AU22" s="416"/>
      <c r="AV22" s="416"/>
      <c r="AW22" s="408"/>
      <c r="AX22" s="408"/>
      <c r="AY22" s="408"/>
      <c r="AZ22" s="408"/>
      <c r="BA22" s="408"/>
      <c r="BB22" s="416"/>
      <c r="BC22" s="416"/>
      <c r="BD22" s="408"/>
      <c r="BE22" s="408"/>
      <c r="BF22" s="408"/>
      <c r="BG22" s="408" t="s">
        <v>1160</v>
      </c>
      <c r="BH22" s="412" t="n">
        <v>46192</v>
      </c>
      <c r="BI22" s="412" t="n">
        <v>46191</v>
      </c>
      <c r="BJ22" s="413" t="n">
        <v>1</v>
      </c>
      <c r="BK22" s="420" t="s">
        <v>1163</v>
      </c>
    </row>
    <row r="23" s="424" customFormat="1" ht="54.75" customHeight="1">
      <c r="A23" s="947"/>
      <c r="B23" s="926" t="s">
        <v>1164</v>
      </c>
      <c r="C23" s="422" t="s">
        <v>1165</v>
      </c>
      <c r="D23" s="408"/>
      <c r="E23" s="416"/>
      <c r="F23" s="416"/>
      <c r="G23" s="408"/>
      <c r="H23" s="408"/>
      <c r="I23" s="408"/>
      <c r="J23" s="408"/>
      <c r="K23" s="408"/>
      <c r="L23" s="416"/>
      <c r="M23" s="416"/>
      <c r="N23" s="408"/>
      <c r="O23" s="408"/>
      <c r="P23" s="408"/>
      <c r="Q23" s="408"/>
      <c r="R23" s="408"/>
      <c r="S23" s="416"/>
      <c r="T23" s="416"/>
      <c r="U23" s="408"/>
      <c r="V23" s="408"/>
      <c r="W23" s="418"/>
      <c r="X23" s="408"/>
      <c r="Y23" s="408"/>
      <c r="Z23" s="416"/>
      <c r="AA23" s="416"/>
      <c r="AB23" s="408"/>
      <c r="AC23" s="408"/>
      <c r="AD23" s="423"/>
      <c r="AE23" s="418" t="s">
        <v>1127</v>
      </c>
      <c r="AF23" s="408"/>
      <c r="AG23" s="416"/>
      <c r="AH23" s="416"/>
      <c r="AI23" s="408"/>
      <c r="AJ23" s="408"/>
      <c r="AK23" s="408"/>
      <c r="AL23" s="408"/>
      <c r="AM23" s="408"/>
      <c r="AN23" s="416"/>
      <c r="AO23" s="416"/>
      <c r="AP23" s="408"/>
      <c r="AQ23" s="408"/>
      <c r="AR23" s="408"/>
      <c r="AS23" s="419"/>
      <c r="AT23" s="408"/>
      <c r="AU23" s="416"/>
      <c r="AV23" s="416"/>
      <c r="AW23" s="408"/>
      <c r="AX23" s="408"/>
      <c r="AY23" s="408"/>
      <c r="AZ23" s="408"/>
      <c r="BA23" s="408"/>
      <c r="BB23" s="416"/>
      <c r="BC23" s="416"/>
      <c r="BD23" s="408"/>
      <c r="BE23" s="408"/>
      <c r="BF23" s="408"/>
      <c r="BG23" s="408" t="s">
        <v>1166</v>
      </c>
      <c r="BH23" s="412" t="n">
        <v>46185</v>
      </c>
      <c r="BI23" s="412" t="n">
        <v>46185</v>
      </c>
      <c r="BJ23" s="413" t="n">
        <v>1</v>
      </c>
      <c r="BK23" s="420" t="s">
        <v>1167</v>
      </c>
    </row>
    <row r="24" s="320" customFormat="1" ht="23.25" customHeight="1">
      <c r="A24" s="947"/>
      <c r="B24" s="927"/>
      <c r="C24" s="334" t="s">
        <v>1168</v>
      </c>
      <c r="D24" s="335"/>
      <c r="E24" s="336"/>
      <c r="F24" s="336"/>
      <c r="G24" s="335"/>
      <c r="H24" s="335"/>
      <c r="I24" s="335"/>
      <c r="J24" s="335"/>
      <c r="K24" s="335"/>
      <c r="L24" s="336"/>
      <c r="M24" s="336"/>
      <c r="N24" s="335"/>
      <c r="O24" s="335"/>
      <c r="P24" s="335"/>
      <c r="Q24" s="335"/>
      <c r="R24" s="335"/>
      <c r="S24" s="336"/>
      <c r="T24" s="336"/>
      <c r="U24" s="335"/>
      <c r="V24" s="335"/>
      <c r="W24" s="335"/>
      <c r="X24" s="335"/>
      <c r="Y24" s="335"/>
      <c r="Z24" s="336"/>
      <c r="AA24" s="336"/>
      <c r="AB24" s="337"/>
      <c r="AC24" s="337" t="s">
        <v>1127</v>
      </c>
      <c r="AD24" s="338"/>
      <c r="AE24" s="337"/>
      <c r="AF24" s="337"/>
      <c r="AG24" s="339"/>
      <c r="AH24" s="339"/>
      <c r="AI24" s="337"/>
      <c r="AJ24" s="337"/>
      <c r="AK24" s="337"/>
      <c r="AL24" s="337"/>
      <c r="AM24" s="337"/>
      <c r="AN24" s="339"/>
      <c r="AO24" s="339"/>
      <c r="AP24" s="337"/>
      <c r="AQ24" s="337"/>
      <c r="AR24" s="337"/>
      <c r="AS24" s="340"/>
      <c r="AT24" s="337"/>
      <c r="AU24" s="339"/>
      <c r="AV24" s="336"/>
      <c r="AW24" s="335"/>
      <c r="AX24" s="335"/>
      <c r="AY24" s="335"/>
      <c r="AZ24" s="335"/>
      <c r="BA24" s="335"/>
      <c r="BB24" s="336"/>
      <c r="BC24" s="336"/>
      <c r="BD24" s="335"/>
      <c r="BE24" s="335"/>
      <c r="BF24" s="337"/>
      <c r="BG24" s="335" t="s">
        <v>1160</v>
      </c>
      <c r="BH24" s="341" t="n">
        <v>46183</v>
      </c>
      <c r="BI24" s="342" t="n">
        <v>46181</v>
      </c>
      <c r="BJ24" s="343" t="n">
        <v>1</v>
      </c>
      <c r="BK24" s="344" t="s">
        <v>1169</v>
      </c>
    </row>
    <row r="25" s="320" customFormat="1" ht="19.5" customHeight="1">
      <c r="A25" s="947"/>
      <c r="B25" s="927"/>
      <c r="C25" s="334" t="s">
        <v>1170</v>
      </c>
      <c r="D25" s="335"/>
      <c r="E25" s="336"/>
      <c r="F25" s="336"/>
      <c r="G25" s="335"/>
      <c r="H25" s="335"/>
      <c r="I25" s="335"/>
      <c r="J25" s="335"/>
      <c r="K25" s="335"/>
      <c r="L25" s="336"/>
      <c r="M25" s="336"/>
      <c r="N25" s="335"/>
      <c r="O25" s="335"/>
      <c r="P25" s="335"/>
      <c r="Q25" s="335"/>
      <c r="R25" s="335"/>
      <c r="S25" s="336"/>
      <c r="T25" s="336"/>
      <c r="U25" s="335"/>
      <c r="V25" s="335"/>
      <c r="W25" s="335"/>
      <c r="X25" s="335"/>
      <c r="Y25" s="335"/>
      <c r="Z25" s="336"/>
      <c r="AA25" s="336"/>
      <c r="AB25" s="337"/>
      <c r="AC25" s="337"/>
      <c r="AD25" s="338" t="s">
        <v>1127</v>
      </c>
      <c r="AE25" s="337"/>
      <c r="AF25" s="337"/>
      <c r="AG25" s="339"/>
      <c r="AH25" s="339"/>
      <c r="AI25" s="337"/>
      <c r="AJ25" s="337"/>
      <c r="AK25" s="337"/>
      <c r="AL25" s="337"/>
      <c r="AM25" s="337"/>
      <c r="AN25" s="339"/>
      <c r="AO25" s="339"/>
      <c r="AP25" s="337"/>
      <c r="AQ25" s="337"/>
      <c r="AR25" s="337"/>
      <c r="AS25" s="340"/>
      <c r="AT25" s="337"/>
      <c r="AU25" s="339"/>
      <c r="AV25" s="336"/>
      <c r="AW25" s="335"/>
      <c r="AX25" s="335"/>
      <c r="AY25" s="335"/>
      <c r="AZ25" s="335"/>
      <c r="BA25" s="335"/>
      <c r="BB25" s="336"/>
      <c r="BC25" s="336"/>
      <c r="BD25" s="335"/>
      <c r="BE25" s="335"/>
      <c r="BF25" s="337"/>
      <c r="BG25" s="335" t="s">
        <v>1160</v>
      </c>
      <c r="BH25" s="341" t="n">
        <v>46176</v>
      </c>
      <c r="BI25" s="342" t="n">
        <v>46178</v>
      </c>
      <c r="BJ25" s="343" t="n">
        <v>1</v>
      </c>
      <c r="BK25" s="344" t="s">
        <v>1171</v>
      </c>
    </row>
    <row r="26" s="320" customFormat="1" ht="19.5" customHeight="1">
      <c r="A26" s="947"/>
      <c r="B26" s="927"/>
      <c r="C26" s="334" t="s">
        <v>1172</v>
      </c>
      <c r="D26" s="335"/>
      <c r="E26" s="336"/>
      <c r="F26" s="336"/>
      <c r="G26" s="335"/>
      <c r="H26" s="335"/>
      <c r="I26" s="335"/>
      <c r="J26" s="335"/>
      <c r="K26" s="335"/>
      <c r="L26" s="336"/>
      <c r="M26" s="336"/>
      <c r="N26" s="335"/>
      <c r="O26" s="335"/>
      <c r="P26" s="335"/>
      <c r="Q26" s="335"/>
      <c r="R26" s="335"/>
      <c r="S26" s="336"/>
      <c r="T26" s="336"/>
      <c r="U26" s="335"/>
      <c r="V26" s="335"/>
      <c r="W26" s="335"/>
      <c r="X26" s="335"/>
      <c r="Y26" s="335"/>
      <c r="Z26" s="336"/>
      <c r="AA26" s="336"/>
      <c r="AB26" s="335"/>
      <c r="AC26" s="335"/>
      <c r="AD26" s="345"/>
      <c r="AE26" s="335"/>
      <c r="AF26" s="335"/>
      <c r="AG26" s="336"/>
      <c r="AH26" s="336"/>
      <c r="AI26" s="335"/>
      <c r="AJ26" s="337" t="s">
        <v>1127</v>
      </c>
      <c r="AK26" s="335"/>
      <c r="AL26" s="335"/>
      <c r="AM26" s="335"/>
      <c r="AN26" s="336"/>
      <c r="AO26" s="336"/>
      <c r="AP26" s="335"/>
      <c r="AQ26" s="335"/>
      <c r="AR26" s="335"/>
      <c r="AS26" s="346"/>
      <c r="AT26" s="335"/>
      <c r="AU26" s="336"/>
      <c r="AV26" s="336"/>
      <c r="AW26" s="335"/>
      <c r="AX26" s="335"/>
      <c r="AY26" s="335"/>
      <c r="AZ26" s="335"/>
      <c r="BA26" s="335"/>
      <c r="BB26" s="336"/>
      <c r="BC26" s="336"/>
      <c r="BD26" s="335"/>
      <c r="BE26" s="335"/>
      <c r="BF26" s="335"/>
      <c r="BG26" s="335" t="s">
        <v>1160</v>
      </c>
      <c r="BH26" s="341" t="n">
        <v>46183</v>
      </c>
      <c r="BI26" s="342" t="n">
        <v>46181</v>
      </c>
      <c r="BJ26" s="343" t="n">
        <v>1</v>
      </c>
      <c r="BK26" s="344" t="s">
        <v>1173</v>
      </c>
    </row>
    <row r="27" s="274" customFormat="1" ht="14.25" customHeight="1">
      <c r="A27" s="947"/>
      <c r="B27" s="927"/>
      <c r="C27" s="311" t="s">
        <v>1174</v>
      </c>
      <c r="D27" s="286"/>
      <c r="E27" s="277"/>
      <c r="F27" s="277"/>
      <c r="G27" s="276"/>
      <c r="H27" s="276"/>
      <c r="I27" s="276"/>
      <c r="J27" s="276"/>
      <c r="K27" s="276"/>
      <c r="L27" s="277"/>
      <c r="M27" s="277"/>
      <c r="N27" s="276"/>
      <c r="O27" s="276"/>
      <c r="P27" s="276"/>
      <c r="Q27" s="276"/>
      <c r="R27" s="276"/>
      <c r="S27" s="277"/>
      <c r="T27" s="277"/>
      <c r="U27" s="286" t="s">
        <v>1127</v>
      </c>
      <c r="V27" s="276"/>
      <c r="W27" s="276"/>
      <c r="X27" s="276"/>
      <c r="Y27" s="276"/>
      <c r="Z27" s="277"/>
      <c r="AA27" s="277"/>
      <c r="AB27" s="276"/>
      <c r="AC27" s="276"/>
      <c r="AD27" s="280"/>
      <c r="AE27" s="276"/>
      <c r="AF27" s="276"/>
      <c r="AG27" s="277"/>
      <c r="AH27" s="277"/>
      <c r="AI27" s="276"/>
      <c r="AJ27" s="276"/>
      <c r="AK27" s="276"/>
      <c r="AL27" s="276"/>
      <c r="AM27" s="276"/>
      <c r="AN27" s="277"/>
      <c r="AO27" s="277"/>
      <c r="AP27" s="276"/>
      <c r="AQ27" s="276"/>
      <c r="AR27" s="276"/>
      <c r="AS27" s="281"/>
      <c r="AT27" s="276"/>
      <c r="AU27" s="277"/>
      <c r="AV27" s="277"/>
      <c r="AW27" s="276"/>
      <c r="AX27" s="276"/>
      <c r="AY27" s="276"/>
      <c r="AZ27" s="276"/>
      <c r="BA27" s="276"/>
      <c r="BB27" s="277"/>
      <c r="BC27" s="277"/>
      <c r="BD27" s="276"/>
      <c r="BE27" s="276"/>
      <c r="BF27" s="286"/>
      <c r="BG27" s="276" t="s">
        <v>1148</v>
      </c>
      <c r="BH27" s="282" t="n">
        <v>46167</v>
      </c>
      <c r="BI27" s="282" t="n">
        <v>46158</v>
      </c>
      <c r="BJ27" s="290" t="n">
        <v>1</v>
      </c>
      <c r="BK27" s="284"/>
    </row>
    <row r="28" s="274" customFormat="1" ht="203.25" customHeight="1">
      <c r="A28" s="947"/>
      <c r="B28" s="927"/>
      <c r="C28" s="311" t="s">
        <v>1175</v>
      </c>
      <c r="D28" s="286"/>
      <c r="E28" s="287"/>
      <c r="F28" s="277"/>
      <c r="G28" s="276"/>
      <c r="H28" s="276"/>
      <c r="I28" s="276"/>
      <c r="J28" s="276"/>
      <c r="K28" s="276"/>
      <c r="L28" s="277"/>
      <c r="M28" s="277"/>
      <c r="N28" s="276"/>
      <c r="O28" s="276"/>
      <c r="P28" s="276"/>
      <c r="Q28" s="276"/>
      <c r="R28" s="276"/>
      <c r="S28" s="277"/>
      <c r="T28" s="277"/>
      <c r="U28" s="276"/>
      <c r="V28" s="276"/>
      <c r="W28" s="276"/>
      <c r="X28" s="286"/>
      <c r="Y28" s="276"/>
      <c r="Z28" s="277"/>
      <c r="AA28" s="277"/>
      <c r="AB28" s="276"/>
      <c r="AC28" s="276"/>
      <c r="AD28" s="280"/>
      <c r="AE28" s="286" t="s">
        <v>1127</v>
      </c>
      <c r="AF28" s="276"/>
      <c r="AG28" s="277"/>
      <c r="AH28" s="277"/>
      <c r="AI28" s="276"/>
      <c r="AJ28" s="276"/>
      <c r="AK28" s="276"/>
      <c r="AL28" s="276"/>
      <c r="AM28" s="276"/>
      <c r="AN28" s="277"/>
      <c r="AO28" s="277"/>
      <c r="AP28" s="276"/>
      <c r="AQ28" s="276"/>
      <c r="AR28" s="276"/>
      <c r="AS28" s="281"/>
      <c r="AT28" s="276"/>
      <c r="AU28" s="277"/>
      <c r="AV28" s="277"/>
      <c r="AW28" s="276"/>
      <c r="AX28" s="276"/>
      <c r="AY28" s="276"/>
      <c r="AZ28" s="276"/>
      <c r="BA28" s="276"/>
      <c r="BB28" s="277"/>
      <c r="BC28" s="277"/>
      <c r="BD28" s="276"/>
      <c r="BE28" s="276"/>
      <c r="BF28" s="286"/>
      <c r="BG28" s="276" t="s">
        <v>1148</v>
      </c>
      <c r="BH28" s="282" t="n">
        <v>46177</v>
      </c>
      <c r="BI28" s="282" t="n">
        <v>46174</v>
      </c>
      <c r="BJ28" s="290" t="n">
        <v>1</v>
      </c>
      <c r="BK28" s="284" t="s">
        <v>1176</v>
      </c>
    </row>
    <row r="29" s="424" customFormat="1" ht="95.25" customHeight="1">
      <c r="A29" s="947"/>
      <c r="B29" s="927"/>
      <c r="C29" s="421" t="s">
        <v>1177</v>
      </c>
      <c r="D29" s="408"/>
      <c r="E29" s="416"/>
      <c r="F29" s="416"/>
      <c r="G29" s="408"/>
      <c r="H29" s="408"/>
      <c r="I29" s="408"/>
      <c r="J29" s="408"/>
      <c r="K29" s="408"/>
      <c r="L29" s="416"/>
      <c r="M29" s="416"/>
      <c r="N29" s="408"/>
      <c r="O29" s="408"/>
      <c r="P29" s="408"/>
      <c r="Q29" s="408"/>
      <c r="R29" s="408"/>
      <c r="S29" s="416"/>
      <c r="T29" s="416"/>
      <c r="U29" s="408"/>
      <c r="V29" s="408"/>
      <c r="W29" s="408"/>
      <c r="X29" s="408"/>
      <c r="Y29" s="408"/>
      <c r="Z29" s="416"/>
      <c r="AA29" s="416"/>
      <c r="AB29" s="408"/>
      <c r="AC29" s="408"/>
      <c r="AD29" s="417"/>
      <c r="AE29" s="408"/>
      <c r="AF29" s="408"/>
      <c r="AG29" s="416"/>
      <c r="AH29" s="416"/>
      <c r="AI29" s="408"/>
      <c r="AJ29" s="408"/>
      <c r="AK29" s="408"/>
      <c r="AL29" s="418" t="s">
        <v>1127</v>
      </c>
      <c r="AM29" s="408"/>
      <c r="AN29" s="416"/>
      <c r="AO29" s="416"/>
      <c r="AP29" s="408"/>
      <c r="AQ29" s="408"/>
      <c r="AR29" s="408"/>
      <c r="AS29" s="419"/>
      <c r="AT29" s="408"/>
      <c r="AU29" s="416"/>
      <c r="AV29" s="416"/>
      <c r="AW29" s="408"/>
      <c r="AX29" s="408"/>
      <c r="AY29" s="408"/>
      <c r="AZ29" s="408"/>
      <c r="BA29" s="408"/>
      <c r="BB29" s="416"/>
      <c r="BC29" s="416"/>
      <c r="BD29" s="408"/>
      <c r="BE29" s="408"/>
      <c r="BF29" s="408"/>
      <c r="BG29" s="408" t="s">
        <v>1178</v>
      </c>
      <c r="BH29" s="412" t="n">
        <v>46192</v>
      </c>
      <c r="BI29" s="412" t="n">
        <v>46191</v>
      </c>
      <c r="BJ29" s="413" t="n">
        <v>1</v>
      </c>
      <c r="BK29" s="420" t="s">
        <v>1179</v>
      </c>
    </row>
    <row r="30" s="348" customFormat="1" ht="14.25" customHeight="1">
      <c r="A30" s="947"/>
      <c r="B30" s="927"/>
      <c r="C30" s="359" t="s">
        <v>1180</v>
      </c>
      <c r="D30" s="350"/>
      <c r="E30" s="351"/>
      <c r="F30" s="351"/>
      <c r="G30" s="350"/>
      <c r="H30" s="350"/>
      <c r="I30" s="350"/>
      <c r="J30" s="350"/>
      <c r="K30" s="350"/>
      <c r="L30" s="351"/>
      <c r="M30" s="351"/>
      <c r="N30" s="350"/>
      <c r="O30" s="350"/>
      <c r="P30" s="350"/>
      <c r="Q30" s="350"/>
      <c r="R30" s="350"/>
      <c r="S30" s="351"/>
      <c r="T30" s="351"/>
      <c r="U30" s="350"/>
      <c r="V30" s="350"/>
      <c r="W30" s="350"/>
      <c r="X30" s="350"/>
      <c r="Y30" s="350"/>
      <c r="Z30" s="351"/>
      <c r="AA30" s="351"/>
      <c r="AB30" s="350"/>
      <c r="AC30" s="350"/>
      <c r="AD30" s="352"/>
      <c r="AE30" s="350"/>
      <c r="AF30" s="350"/>
      <c r="AG30" s="351"/>
      <c r="AH30" s="351"/>
      <c r="AI30" s="350"/>
      <c r="AJ30" s="350"/>
      <c r="AK30" s="350"/>
      <c r="AL30" s="350"/>
      <c r="AM30" s="350"/>
      <c r="AN30" s="351"/>
      <c r="AO30" s="351"/>
      <c r="AP30" s="354" t="s">
        <v>1127</v>
      </c>
      <c r="AQ30" s="350"/>
      <c r="AR30" s="350"/>
      <c r="AS30" s="355"/>
      <c r="AT30" s="350"/>
      <c r="AU30" s="351"/>
      <c r="AV30" s="351"/>
      <c r="AW30" s="350"/>
      <c r="AX30" s="350"/>
      <c r="AY30" s="350"/>
      <c r="AZ30" s="350"/>
      <c r="BA30" s="350"/>
      <c r="BB30" s="351"/>
      <c r="BC30" s="351"/>
      <c r="BD30" s="350"/>
      <c r="BE30" s="350"/>
      <c r="BF30" s="350"/>
      <c r="BG30" s="350" t="s">
        <v>1148</v>
      </c>
      <c r="BH30" s="356" t="n">
        <v>46188</v>
      </c>
      <c r="BI30" s="356" t="n">
        <v>46183</v>
      </c>
      <c r="BJ30" s="357" t="n">
        <v>1</v>
      </c>
      <c r="BK30" s="358"/>
    </row>
    <row r="31" s="274" customFormat="1" ht="14.25" customHeight="1">
      <c r="A31" s="947"/>
      <c r="B31" s="927"/>
      <c r="C31" s="311" t="s">
        <v>1181</v>
      </c>
      <c r="D31" s="276"/>
      <c r="E31" s="277"/>
      <c r="F31" s="277"/>
      <c r="G31" s="276"/>
      <c r="H31" s="276"/>
      <c r="I31" s="276"/>
      <c r="J31" s="276"/>
      <c r="K31" s="276"/>
      <c r="L31" s="277"/>
      <c r="M31" s="277"/>
      <c r="N31" s="276"/>
      <c r="O31" s="276"/>
      <c r="P31" s="276"/>
      <c r="Q31" s="276"/>
      <c r="R31" s="276"/>
      <c r="S31" s="277"/>
      <c r="T31" s="277"/>
      <c r="U31" s="276"/>
      <c r="V31" s="286" t="s">
        <v>1127</v>
      </c>
      <c r="W31" s="276"/>
      <c r="X31" s="276"/>
      <c r="Y31" s="276"/>
      <c r="Z31" s="277"/>
      <c r="AA31" s="277"/>
      <c r="AB31" s="276"/>
      <c r="AC31" s="276"/>
      <c r="AD31" s="280"/>
      <c r="AE31" s="276"/>
      <c r="AF31" s="276"/>
      <c r="AG31" s="277"/>
      <c r="AH31" s="277"/>
      <c r="AI31" s="276"/>
      <c r="AJ31" s="276"/>
      <c r="AK31" s="276"/>
      <c r="AL31" s="276"/>
      <c r="AM31" s="276"/>
      <c r="AN31" s="277"/>
      <c r="AO31" s="277"/>
      <c r="AP31" s="276"/>
      <c r="AQ31" s="276"/>
      <c r="AR31" s="276"/>
      <c r="AS31" s="281"/>
      <c r="AT31" s="276"/>
      <c r="AU31" s="277"/>
      <c r="AV31" s="277"/>
      <c r="AW31" s="276"/>
      <c r="AX31" s="276"/>
      <c r="AY31" s="276"/>
      <c r="AZ31" s="276"/>
      <c r="BA31" s="276"/>
      <c r="BB31" s="277"/>
      <c r="BC31" s="277"/>
      <c r="BD31" s="276"/>
      <c r="BE31" s="276"/>
      <c r="BF31" s="276"/>
      <c r="BG31" s="276" t="s">
        <v>1178</v>
      </c>
      <c r="BH31" s="282" t="n">
        <v>46168</v>
      </c>
      <c r="BI31" s="282" t="n">
        <v>46168</v>
      </c>
      <c r="BJ31" s="290" t="n">
        <v>1</v>
      </c>
      <c r="BK31" s="284" t="s">
        <v>233</v>
      </c>
    </row>
    <row r="32" s="274" customFormat="1" ht="14.25" customHeight="1">
      <c r="A32" s="947"/>
      <c r="B32" s="927"/>
      <c r="C32" s="311" t="s">
        <v>1182</v>
      </c>
      <c r="D32" s="276"/>
      <c r="E32" s="277"/>
      <c r="F32" s="277"/>
      <c r="G32" s="276"/>
      <c r="H32" s="276"/>
      <c r="I32" s="276"/>
      <c r="J32" s="276"/>
      <c r="K32" s="276"/>
      <c r="L32" s="277"/>
      <c r="M32" s="277"/>
      <c r="N32" s="276"/>
      <c r="O32" s="276"/>
      <c r="P32" s="276"/>
      <c r="Q32" s="286" t="s">
        <v>1127</v>
      </c>
      <c r="R32" s="276"/>
      <c r="S32" s="277"/>
      <c r="T32" s="277"/>
      <c r="U32" s="286"/>
      <c r="V32" s="276"/>
      <c r="W32" s="276"/>
      <c r="X32" s="276"/>
      <c r="Y32" s="276"/>
      <c r="Z32" s="277"/>
      <c r="AA32" s="277"/>
      <c r="AB32" s="276"/>
      <c r="AC32" s="276"/>
      <c r="AD32" s="280"/>
      <c r="AE32" s="276"/>
      <c r="AF32" s="276"/>
      <c r="AG32" s="277"/>
      <c r="AH32" s="277"/>
      <c r="AI32" s="276"/>
      <c r="AJ32" s="276"/>
      <c r="AK32" s="276"/>
      <c r="AL32" s="276"/>
      <c r="AM32" s="276"/>
      <c r="AN32" s="277"/>
      <c r="AO32" s="277"/>
      <c r="AP32" s="276"/>
      <c r="AQ32" s="276"/>
      <c r="AR32" s="276"/>
      <c r="AS32" s="281"/>
      <c r="AT32" s="276"/>
      <c r="AU32" s="277"/>
      <c r="AV32" s="277"/>
      <c r="AW32" s="276"/>
      <c r="AX32" s="276"/>
      <c r="AY32" s="276"/>
      <c r="AZ32" s="276"/>
      <c r="BA32" s="276"/>
      <c r="BB32" s="277"/>
      <c r="BC32" s="277"/>
      <c r="BD32" s="276"/>
      <c r="BE32" s="276"/>
      <c r="BF32" s="276"/>
      <c r="BG32" s="276" t="s">
        <v>1148</v>
      </c>
      <c r="BH32" s="282" t="n">
        <v>46163</v>
      </c>
      <c r="BI32" s="282" t="n">
        <v>46158</v>
      </c>
      <c r="BJ32" s="290" t="n">
        <v>1</v>
      </c>
      <c r="BK32" s="284" t="s">
        <v>233</v>
      </c>
    </row>
    <row r="33" s="448" customFormat="1" ht="14.25" customHeight="1">
      <c r="A33" s="948"/>
      <c r="B33" s="928"/>
      <c r="C33" s="449" t="s">
        <v>1183</v>
      </c>
      <c r="D33" s="450"/>
      <c r="E33" s="451"/>
      <c r="F33" s="451"/>
      <c r="G33" s="450"/>
      <c r="H33" s="450"/>
      <c r="I33" s="450"/>
      <c r="J33" s="450"/>
      <c r="K33" s="450"/>
      <c r="L33" s="451"/>
      <c r="M33" s="451"/>
      <c r="N33" s="450"/>
      <c r="O33" s="450"/>
      <c r="P33" s="450"/>
      <c r="Q33" s="450"/>
      <c r="R33" s="450"/>
      <c r="S33" s="451"/>
      <c r="T33" s="451"/>
      <c r="U33" s="450"/>
      <c r="V33" s="450"/>
      <c r="W33" s="450"/>
      <c r="X33" s="450"/>
      <c r="Y33" s="450"/>
      <c r="Z33" s="451"/>
      <c r="AA33" s="451"/>
      <c r="AB33" s="450"/>
      <c r="AC33" s="450"/>
      <c r="AD33" s="452"/>
      <c r="AE33" s="450"/>
      <c r="AF33" s="450"/>
      <c r="AG33" s="451"/>
      <c r="AH33" s="451"/>
      <c r="AI33" s="450"/>
      <c r="AJ33" s="450"/>
      <c r="AK33" s="450"/>
      <c r="AL33" s="450"/>
      <c r="AM33" s="450"/>
      <c r="AN33" s="451"/>
      <c r="AO33" s="451"/>
      <c r="AP33" s="450"/>
      <c r="AQ33" s="453" t="s">
        <v>1127</v>
      </c>
      <c r="AR33" s="450"/>
      <c r="AS33" s="454"/>
      <c r="AT33" s="450"/>
      <c r="AU33" s="451"/>
      <c r="AV33" s="451"/>
      <c r="AW33" s="450"/>
      <c r="AX33" s="450"/>
      <c r="AY33" s="450"/>
      <c r="AZ33" s="450"/>
      <c r="BA33" s="450"/>
      <c r="BB33" s="451"/>
      <c r="BC33" s="451"/>
      <c r="BD33" s="450"/>
      <c r="BE33" s="450"/>
      <c r="BF33" s="450"/>
      <c r="BG33" s="450" t="s">
        <v>1148</v>
      </c>
      <c r="BH33" s="455" t="n">
        <v>46192</v>
      </c>
      <c r="BI33" s="455" t="n">
        <v>46192</v>
      </c>
      <c r="BJ33" s="456" t="n">
        <v>1</v>
      </c>
      <c r="BK33" s="457"/>
    </row>
    <row r="34" s="360" customFormat="1" ht="41.25" customHeight="1">
      <c r="A34" s="947"/>
      <c r="B34" s="362" t="s">
        <v>1184</v>
      </c>
      <c r="C34" s="363" t="s">
        <v>1185</v>
      </c>
      <c r="D34" s="364"/>
      <c r="E34" s="365"/>
      <c r="F34" s="365"/>
      <c r="G34" s="366"/>
      <c r="H34" s="366"/>
      <c r="I34" s="366"/>
      <c r="J34" s="366"/>
      <c r="K34" s="366"/>
      <c r="L34" s="365"/>
      <c r="M34" s="365"/>
      <c r="N34" s="366"/>
      <c r="O34" s="366"/>
      <c r="P34" s="366"/>
      <c r="Q34" s="366"/>
      <c r="R34" s="366"/>
      <c r="S34" s="365"/>
      <c r="T34" s="365"/>
      <c r="U34" s="366"/>
      <c r="V34" s="366"/>
      <c r="W34" s="366"/>
      <c r="X34" s="366"/>
      <c r="Y34" s="366"/>
      <c r="Z34" s="365"/>
      <c r="AA34" s="365"/>
      <c r="AB34" s="366"/>
      <c r="AC34" s="366"/>
      <c r="AD34" s="367"/>
      <c r="AE34" s="366"/>
      <c r="AF34" s="366"/>
      <c r="AG34" s="365"/>
      <c r="AH34" s="365"/>
      <c r="AI34" s="368" t="s">
        <v>1127</v>
      </c>
      <c r="AJ34" s="366"/>
      <c r="AK34" s="366"/>
      <c r="AL34" s="366"/>
      <c r="AM34" s="366"/>
      <c r="AN34" s="365"/>
      <c r="AO34" s="365"/>
      <c r="AP34" s="364"/>
      <c r="AQ34" s="366"/>
      <c r="AR34" s="366"/>
      <c r="AS34" s="369"/>
      <c r="AT34" s="366"/>
      <c r="AU34" s="365"/>
      <c r="AV34" s="365"/>
      <c r="AW34" s="366"/>
      <c r="AX34" s="366"/>
      <c r="AY34" s="366"/>
      <c r="AZ34" s="366"/>
      <c r="BA34" s="366"/>
      <c r="BB34" s="365"/>
      <c r="BC34" s="365"/>
      <c r="BD34" s="366"/>
      <c r="BE34" s="366"/>
      <c r="BF34" s="366"/>
      <c r="BG34" s="366" t="s">
        <v>1148</v>
      </c>
      <c r="BH34" s="370" t="n">
        <v>46185</v>
      </c>
      <c r="BI34" s="370" t="n">
        <v>46184</v>
      </c>
      <c r="BJ34" s="371" t="n">
        <v>1</v>
      </c>
      <c r="BK34" s="1168" t="s">
        <v>1186</v>
      </c>
    </row>
    <row r="35" ht="68.25" customHeight="1">
      <c r="A35" s="923" t="s">
        <v>1187</v>
      </c>
      <c r="B35" s="954" t="s">
        <v>965</v>
      </c>
      <c r="C35" s="72" t="s">
        <v>1188</v>
      </c>
      <c r="D35" s="73"/>
      <c r="E35" s="74"/>
      <c r="F35" s="75"/>
      <c r="G35" s="73"/>
      <c r="H35" s="73"/>
      <c r="I35" s="73"/>
      <c r="J35" s="73"/>
      <c r="K35" s="73"/>
      <c r="L35" s="74"/>
      <c r="M35" s="75"/>
      <c r="N35" s="73"/>
      <c r="O35" s="73"/>
      <c r="P35" s="73"/>
      <c r="Q35" s="73"/>
      <c r="R35" s="73"/>
      <c r="S35" s="74"/>
      <c r="T35" s="75"/>
      <c r="U35" s="73"/>
      <c r="V35" s="73"/>
      <c r="W35" s="73"/>
      <c r="X35" s="73"/>
      <c r="Y35" s="73"/>
      <c r="Z35" s="74"/>
      <c r="AA35" s="75"/>
      <c r="AB35" s="73"/>
      <c r="AC35" s="73"/>
      <c r="AD35" s="271"/>
      <c r="AE35" s="73"/>
      <c r="AF35" s="73"/>
      <c r="AG35" s="74"/>
      <c r="AH35" s="75"/>
      <c r="AI35" s="73"/>
      <c r="AJ35" s="73"/>
      <c r="AK35" s="73"/>
      <c r="AL35" s="73"/>
      <c r="AM35" s="73"/>
      <c r="AN35" s="74"/>
      <c r="AO35" s="75"/>
      <c r="AP35" s="445"/>
      <c r="AQ35" s="446" t="n">
        <v>1</v>
      </c>
      <c r="AR35" s="446" t="n">
        <v>1</v>
      </c>
      <c r="AS35" s="446" t="n">
        <v>2</v>
      </c>
      <c r="AT35" s="446" t="n">
        <v>0</v>
      </c>
      <c r="AU35" s="446" t="n">
        <v>2</v>
      </c>
      <c r="AV35" s="446" t="n">
        <v>2</v>
      </c>
      <c r="AW35" s="446" t="n">
        <v>1</v>
      </c>
      <c r="AX35" s="446" t="n">
        <v>1</v>
      </c>
      <c r="AY35" s="459" t="n">
        <v>2</v>
      </c>
      <c r="AZ35" s="460"/>
      <c r="BA35" s="460"/>
      <c r="BB35" s="461"/>
      <c r="BC35" s="462"/>
      <c r="BD35" s="476" t="n">
        <v>1</v>
      </c>
      <c r="BE35" s="460"/>
      <c r="BF35" s="460"/>
      <c r="BG35" s="463" t="s">
        <v>1189</v>
      </c>
      <c r="BH35" s="63" t="n">
        <v>46220</v>
      </c>
      <c r="BI35" s="464"/>
      <c r="BJ35" s="465" t="n">
        <v>0.85</v>
      </c>
      <c r="BK35" s="1169" t="s">
        <v>1190</v>
      </c>
    </row>
    <row r="36" ht="14.25" customHeight="1">
      <c r="A36" s="924"/>
      <c r="B36" s="955"/>
      <c r="C36" s="76" t="s">
        <v>1191</v>
      </c>
      <c r="D36" s="77"/>
      <c r="E36" s="78"/>
      <c r="F36" s="78"/>
      <c r="G36" s="77"/>
      <c r="H36" s="77"/>
      <c r="I36" s="77"/>
      <c r="J36" s="77"/>
      <c r="K36" s="77"/>
      <c r="L36" s="78"/>
      <c r="M36" s="78"/>
      <c r="N36" s="77"/>
      <c r="O36" s="77"/>
      <c r="P36" s="77"/>
      <c r="Q36" s="77"/>
      <c r="R36" s="77"/>
      <c r="S36" s="78"/>
      <c r="T36" s="78"/>
      <c r="U36" s="77"/>
      <c r="V36" s="77"/>
      <c r="W36" s="77"/>
      <c r="X36" s="77"/>
      <c r="Y36" s="77"/>
      <c r="Z36" s="78"/>
      <c r="AA36" s="78"/>
      <c r="AB36" s="77"/>
      <c r="AC36" s="77"/>
      <c r="AD36" s="272"/>
      <c r="AE36" s="77"/>
      <c r="AF36" s="77"/>
      <c r="AG36" s="78"/>
      <c r="AH36" s="78"/>
      <c r="AI36" s="77"/>
      <c r="AJ36" s="77"/>
      <c r="AK36" s="77"/>
      <c r="AL36" s="77"/>
      <c r="AM36" s="77"/>
      <c r="AN36" s="78"/>
      <c r="AO36" s="78"/>
      <c r="AP36" s="77"/>
      <c r="AQ36" s="79"/>
      <c r="AR36" s="447" t="n">
        <v>0</v>
      </c>
      <c r="AS36" s="447" t="n">
        <v>0</v>
      </c>
      <c r="AT36" s="447" t="n">
        <v>0</v>
      </c>
      <c r="AU36" s="447" t="n">
        <v>4</v>
      </c>
      <c r="AV36" s="447" t="n">
        <v>0</v>
      </c>
      <c r="AW36" s="447" t="n">
        <v>4</v>
      </c>
      <c r="AX36" s="447" t="n">
        <v>2</v>
      </c>
      <c r="AY36" s="466" t="n">
        <v>0</v>
      </c>
      <c r="AZ36" s="476" t="n">
        <v>2</v>
      </c>
      <c r="BA36" s="467"/>
      <c r="BB36" s="468"/>
      <c r="BC36" s="468"/>
      <c r="BD36" s="467"/>
      <c r="BE36" s="476" t="n">
        <v>1</v>
      </c>
      <c r="BF36" s="467"/>
      <c r="BG36" s="469" t="s">
        <v>1189</v>
      </c>
      <c r="BH36" s="63" t="n">
        <v>46220</v>
      </c>
      <c r="BI36" s="471"/>
      <c r="BJ36" s="472" t="n">
        <v>0.85</v>
      </c>
      <c r="BK36" s="473"/>
    </row>
    <row r="37" ht="14.25" customHeight="1">
      <c r="A37" s="924"/>
      <c r="B37" s="955"/>
      <c r="C37" s="76" t="s">
        <v>1192</v>
      </c>
      <c r="D37" s="77"/>
      <c r="E37" s="78"/>
      <c r="F37" s="78"/>
      <c r="G37" s="77"/>
      <c r="H37" s="77"/>
      <c r="I37" s="77"/>
      <c r="J37" s="77"/>
      <c r="K37" s="77"/>
      <c r="L37" s="78"/>
      <c r="M37" s="78"/>
      <c r="N37" s="77"/>
      <c r="O37" s="77"/>
      <c r="P37" s="77"/>
      <c r="Q37" s="77"/>
      <c r="R37" s="77"/>
      <c r="S37" s="78"/>
      <c r="T37" s="78"/>
      <c r="U37" s="77"/>
      <c r="V37" s="77"/>
      <c r="W37" s="77"/>
      <c r="X37" s="77"/>
      <c r="Y37" s="77"/>
      <c r="Z37" s="78"/>
      <c r="AA37" s="78"/>
      <c r="AB37" s="77"/>
      <c r="AC37" s="77"/>
      <c r="AD37" s="272"/>
      <c r="AE37" s="77"/>
      <c r="AF37" s="77"/>
      <c r="AG37" s="78"/>
      <c r="AH37" s="78"/>
      <c r="AI37" s="77"/>
      <c r="AJ37" s="77"/>
      <c r="AK37" s="77"/>
      <c r="AL37" s="77"/>
      <c r="AM37" s="77"/>
      <c r="AN37" s="78"/>
      <c r="AO37" s="78"/>
      <c r="AP37" s="77"/>
      <c r="AQ37" s="80"/>
      <c r="AR37" s="81"/>
      <c r="AS37" s="447" t="n">
        <v>0</v>
      </c>
      <c r="AT37" s="447" t="n">
        <v>0</v>
      </c>
      <c r="AU37" s="82"/>
      <c r="AV37" s="82"/>
      <c r="AW37" s="447" t="n">
        <v>6</v>
      </c>
      <c r="AX37" s="447" t="n">
        <v>2</v>
      </c>
      <c r="AY37" s="473"/>
      <c r="AZ37" s="467"/>
      <c r="BA37" s="467"/>
      <c r="BB37" s="468"/>
      <c r="BC37" s="468"/>
      <c r="BD37" s="467"/>
      <c r="BE37" s="467"/>
      <c r="BF37" s="467"/>
      <c r="BG37" s="469" t="s">
        <v>1189</v>
      </c>
      <c r="BH37" s="470" t="n">
        <v>46196</v>
      </c>
      <c r="BI37" s="474" t="n">
        <v>46196</v>
      </c>
      <c r="BJ37" s="472" t="n">
        <v>1</v>
      </c>
      <c r="BK37" s="473" t="s">
        <v>1193</v>
      </c>
    </row>
    <row r="38" ht="14.25" customHeight="1">
      <c r="A38" s="925"/>
      <c r="B38" s="956"/>
      <c r="C38" s="83" t="s">
        <v>1194</v>
      </c>
      <c r="D38" s="83"/>
      <c r="E38" s="84"/>
      <c r="F38" s="84"/>
      <c r="G38" s="85"/>
      <c r="H38" s="85"/>
      <c r="I38" s="85"/>
      <c r="J38" s="85"/>
      <c r="K38" s="85"/>
      <c r="L38" s="84"/>
      <c r="M38" s="84"/>
      <c r="N38" s="85"/>
      <c r="O38" s="85"/>
      <c r="P38" s="85"/>
      <c r="Q38" s="85"/>
      <c r="R38" s="85"/>
      <c r="S38" s="84"/>
      <c r="T38" s="84"/>
      <c r="U38" s="85"/>
      <c r="V38" s="85"/>
      <c r="W38" s="85"/>
      <c r="X38" s="85"/>
      <c r="Y38" s="85"/>
      <c r="Z38" s="84"/>
      <c r="AA38" s="84"/>
      <c r="AB38" s="85"/>
      <c r="AC38" s="85"/>
      <c r="AD38" s="273"/>
      <c r="AE38" s="85"/>
      <c r="AF38" s="85"/>
      <c r="AG38" s="84"/>
      <c r="AH38" s="84"/>
      <c r="AI38" s="85"/>
      <c r="AJ38" s="85"/>
      <c r="AK38" s="85"/>
      <c r="AL38" s="85"/>
      <c r="AM38" s="85"/>
      <c r="AN38" s="84"/>
      <c r="AO38" s="84"/>
      <c r="AP38" s="85"/>
      <c r="AQ38" s="85"/>
      <c r="AR38" s="85"/>
      <c r="AS38" s="86"/>
      <c r="AT38" s="85"/>
      <c r="AU38" s="84"/>
      <c r="AV38" s="84"/>
      <c r="AW38" s="85"/>
      <c r="AX38" s="85"/>
      <c r="AY38" s="473"/>
      <c r="AZ38" s="467"/>
      <c r="BA38" s="467"/>
      <c r="BB38" s="468"/>
      <c r="BC38" s="468"/>
      <c r="BD38" s="467"/>
      <c r="BE38" s="467"/>
      <c r="BF38" s="467"/>
      <c r="BG38" s="469" t="s">
        <v>1148</v>
      </c>
      <c r="BH38" s="63" t="n">
        <v>46220</v>
      </c>
      <c r="BI38" s="471"/>
      <c r="BJ38" s="475" t="n">
        <v>0</v>
      </c>
      <c r="BK38" s="467"/>
    </row>
  </sheetData>
  <mergeCells count="21">
    <mergeCell ref="B23:B33"/>
    <mergeCell ref="B18:B22"/>
    <mergeCell ref="B13:B14"/>
    <mergeCell ref="B15:B17"/>
    <mergeCell ref="B2:B3"/>
    <mergeCell ref="A13:A34"/>
    <mergeCell ref="A4:A12"/>
    <mergeCell ref="BK1:BK3"/>
    <mergeCell ref="C2:C3"/>
    <mergeCell ref="A35:A38"/>
    <mergeCell ref="B35:B38"/>
    <mergeCell ref="D2:AA2"/>
    <mergeCell ref="B4:B12"/>
    <mergeCell ref="BG1:BG3"/>
    <mergeCell ref="AB2:BF2"/>
    <mergeCell ref="BJ1:BJ3"/>
    <mergeCell ref="D1:BF1"/>
    <mergeCell ref="A1:B1"/>
    <mergeCell ref="A2:A3"/>
    <mergeCell ref="BH1:BH3"/>
    <mergeCell ref="BI1:BI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1" max="2" width="26.4990234375" customWidth="1" style="256"/>
    <col min="3" max="14" width="31.6640625" customWidth="1" style="256"/>
    <col min="15" max="15" width="26.1650390625" customWidth="1" style="256"/>
    <col min="16" max="16" width="28.6640625" customWidth="1" style="256"/>
    <col min="17" max="40" width="9" style="256"/>
  </cols>
  <sheetData>
    <row r="1" ht="78.75" customHeight="1">
      <c r="A1" s="970" t="s">
        <v>1195</v>
      </c>
      <c r="B1" s="970"/>
      <c r="C1" s="971"/>
      <c r="D1" s="971"/>
      <c r="E1" s="971"/>
      <c r="F1" s="971"/>
      <c r="G1" s="971"/>
      <c r="H1" s="971"/>
      <c r="I1" s="971"/>
      <c r="J1" s="971"/>
      <c r="K1" s="971"/>
      <c r="L1" s="971"/>
      <c r="M1" s="971"/>
      <c r="N1" s="971"/>
    </row>
    <row r="2" ht="24.95" customHeight="1">
      <c r="A2" s="33" t="s">
        <v>1196</v>
      </c>
      <c r="B2" s="48"/>
      <c r="C2" s="347" t="n">
        <v>1</v>
      </c>
      <c r="D2" s="347" t="n">
        <v>2</v>
      </c>
      <c r="E2" s="347" t="n">
        <v>3</v>
      </c>
      <c r="F2" s="347" t="n">
        <v>4</v>
      </c>
      <c r="G2" s="347" t="n">
        <v>5</v>
      </c>
      <c r="H2" s="347" t="n">
        <v>6</v>
      </c>
      <c r="I2" s="347" t="n">
        <v>7</v>
      </c>
      <c r="J2" s="347" t="n">
        <v>8</v>
      </c>
      <c r="K2" s="347" t="n">
        <v>9</v>
      </c>
      <c r="L2" s="347" t="n">
        <v>10</v>
      </c>
      <c r="M2" s="347" t="n">
        <v>11</v>
      </c>
      <c r="N2" s="347" t="n">
        <v>12</v>
      </c>
      <c r="O2" s="347" t="n">
        <v>1</v>
      </c>
      <c r="P2" s="347" t="n">
        <v>2</v>
      </c>
    </row>
    <row r="3" ht="24.95" customHeight="1">
      <c r="A3" s="347" t="s">
        <v>1197</v>
      </c>
      <c r="B3" s="49" t="s">
        <v>1198</v>
      </c>
      <c r="C3" s="50" t="s">
        <v>1199</v>
      </c>
      <c r="D3" s="347" t="s">
        <v>1200</v>
      </c>
      <c r="E3" s="347" t="s">
        <v>1201</v>
      </c>
      <c r="F3" s="50" t="s">
        <v>1202</v>
      </c>
      <c r="G3" s="347" t="s">
        <v>1203</v>
      </c>
      <c r="H3" s="347" t="s">
        <v>1204</v>
      </c>
      <c r="I3" s="347" t="s">
        <v>1205</v>
      </c>
      <c r="J3" s="347" t="s">
        <v>1206</v>
      </c>
      <c r="K3" s="347" t="s">
        <v>1207</v>
      </c>
      <c r="L3" s="347" t="s">
        <v>1208</v>
      </c>
      <c r="M3" s="347" t="s">
        <v>1209</v>
      </c>
      <c r="N3" s="347" t="s">
        <v>1210</v>
      </c>
      <c r="O3" s="347" t="s">
        <v>1211</v>
      </c>
      <c r="P3" s="347" t="s">
        <v>1212</v>
      </c>
    </row>
    <row r="4" ht="111.75" customHeight="1">
      <c r="A4" s="347" t="s">
        <v>1213</v>
      </c>
      <c r="B4" s="49" t="s">
        <v>1214</v>
      </c>
      <c r="C4" s="30"/>
      <c r="D4" s="30"/>
      <c r="E4" s="30"/>
      <c r="F4" s="30"/>
      <c r="G4" s="30"/>
      <c r="H4" s="30"/>
      <c r="I4" s="30"/>
      <c r="J4" s="30"/>
      <c r="K4" s="30"/>
      <c r="L4" s="30"/>
      <c r="M4" s="30"/>
      <c r="N4" s="30"/>
      <c r="O4" s="347"/>
      <c r="P4" s="347"/>
    </row>
    <row r="5" ht="24.95" customHeight="1">
      <c r="A5" s="347" t="s">
        <v>1215</v>
      </c>
      <c r="B5" s="49" t="s">
        <v>1214</v>
      </c>
      <c r="C5" s="347" t="s">
        <v>1216</v>
      </c>
      <c r="D5" s="347" t="s">
        <v>1216</v>
      </c>
      <c r="E5" s="347" t="s">
        <v>1216</v>
      </c>
      <c r="F5" s="347" t="s">
        <v>1216</v>
      </c>
      <c r="G5" s="347" t="s">
        <v>1216</v>
      </c>
      <c r="H5" s="347" t="s">
        <v>1216</v>
      </c>
      <c r="I5" s="347" t="s">
        <v>1216</v>
      </c>
      <c r="J5" s="347" t="s">
        <v>1216</v>
      </c>
      <c r="K5" s="347" t="s">
        <v>1216</v>
      </c>
      <c r="L5" s="347" t="s">
        <v>1216</v>
      </c>
      <c r="M5" s="347" t="s">
        <v>1216</v>
      </c>
      <c r="N5" s="347" t="s">
        <v>1216</v>
      </c>
      <c r="O5" s="347" t="s">
        <v>1216</v>
      </c>
      <c r="P5" s="347" t="s">
        <v>1216</v>
      </c>
    </row>
    <row r="6" ht="24.95" customHeight="1">
      <c r="A6" s="347" t="s">
        <v>1217</v>
      </c>
      <c r="B6" s="49" t="s">
        <v>1214</v>
      </c>
      <c r="C6" s="347" t="s">
        <v>1218</v>
      </c>
      <c r="D6" s="347" t="s">
        <v>1218</v>
      </c>
      <c r="E6" s="347" t="s">
        <v>1218</v>
      </c>
      <c r="F6" s="347" t="s">
        <v>1218</v>
      </c>
      <c r="G6" s="967" t="s">
        <v>1219</v>
      </c>
      <c r="H6" s="968"/>
      <c r="I6" s="347" t="s">
        <v>1218</v>
      </c>
      <c r="J6" s="967" t="s">
        <v>1220</v>
      </c>
      <c r="K6" s="973"/>
      <c r="L6" s="973"/>
      <c r="M6" s="968"/>
      <c r="N6" s="347" t="s">
        <v>1218</v>
      </c>
      <c r="O6" s="977" t="s">
        <v>1219</v>
      </c>
      <c r="P6" s="977"/>
    </row>
    <row r="7" ht="24.95" customHeight="1">
      <c r="A7" s="347" t="s">
        <v>1221</v>
      </c>
      <c r="B7" s="51" t="n">
        <f>SUM(C7:P7)</f>
        <v>1175000</v>
      </c>
      <c r="C7" s="52" t="n">
        <v>175000</v>
      </c>
      <c r="D7" s="52" t="n">
        <v>145000</v>
      </c>
      <c r="E7" s="52" t="n">
        <v>155000</v>
      </c>
      <c r="F7" s="52" t="n">
        <v>175000</v>
      </c>
      <c r="G7" s="974" t="n">
        <v>55000</v>
      </c>
      <c r="H7" s="975"/>
      <c r="I7" s="52" t="n">
        <v>175000</v>
      </c>
      <c r="J7" s="974" t="n">
        <v>65000</v>
      </c>
      <c r="K7" s="976"/>
      <c r="L7" s="976"/>
      <c r="M7" s="975"/>
      <c r="N7" s="52" t="n">
        <v>185000</v>
      </c>
      <c r="O7" s="969" t="n">
        <v>45000</v>
      </c>
      <c r="P7" s="969"/>
    </row>
    <row r="8" ht="24.95" customHeight="1">
      <c r="A8" s="347" t="s">
        <v>1222</v>
      </c>
      <c r="B8" s="49" t="s">
        <v>1214</v>
      </c>
      <c r="C8" s="347" t="n">
        <v>2344</v>
      </c>
      <c r="D8" s="347" t="n">
        <v>2344</v>
      </c>
      <c r="E8" s="347" t="n">
        <v>2344</v>
      </c>
      <c r="F8" s="347" t="n">
        <v>2344</v>
      </c>
      <c r="G8" s="347" t="n">
        <v>2344</v>
      </c>
      <c r="H8" s="347" t="n">
        <v>2344</v>
      </c>
      <c r="I8" s="347" t="n">
        <v>2344</v>
      </c>
      <c r="J8" s="347" t="n">
        <v>2344</v>
      </c>
      <c r="K8" s="347" t="n">
        <v>2344</v>
      </c>
      <c r="L8" s="347" t="n">
        <v>2344</v>
      </c>
      <c r="M8" s="347" t="n">
        <v>2344</v>
      </c>
      <c r="N8" s="347" t="n">
        <v>2344</v>
      </c>
      <c r="O8" s="347" t="n">
        <v>2344</v>
      </c>
      <c r="P8" s="347" t="n">
        <v>2344</v>
      </c>
    </row>
    <row r="9" ht="24.95" customHeight="1">
      <c r="A9" s="347" t="s">
        <v>1223</v>
      </c>
      <c r="B9" s="49" t="s">
        <v>1214</v>
      </c>
      <c r="C9" s="347" t="n">
        <v>630</v>
      </c>
      <c r="D9" s="347" t="n">
        <v>495</v>
      </c>
      <c r="E9" s="347" t="n">
        <v>1060</v>
      </c>
      <c r="F9" s="347" t="n">
        <v>10340</v>
      </c>
      <c r="G9" s="347" t="n">
        <v>320</v>
      </c>
      <c r="H9" s="347" t="n">
        <v>266</v>
      </c>
      <c r="I9" s="347" t="n">
        <v>685</v>
      </c>
      <c r="J9" s="347" t="n">
        <v>143</v>
      </c>
      <c r="K9" s="347" t="n">
        <v>58</v>
      </c>
      <c r="L9" s="347" t="n">
        <v>65</v>
      </c>
      <c r="M9" s="347" t="n">
        <v>105</v>
      </c>
      <c r="N9" s="347" t="n">
        <v>815</v>
      </c>
      <c r="O9" s="347" t="n">
        <v>85</v>
      </c>
      <c r="P9" s="347" t="n">
        <v>65</v>
      </c>
    </row>
    <row r="10" ht="24.95" customHeight="1">
      <c r="A10" s="347" t="s">
        <v>1224</v>
      </c>
      <c r="B10" s="51" t="n">
        <f>SUM(C10:P10)</f>
        <v>423.69</v>
      </c>
      <c r="C10" s="52" t="n">
        <v>17.64</v>
      </c>
      <c r="D10" s="52" t="n">
        <v>13.86</v>
      </c>
      <c r="E10" s="52" t="n">
        <v>29.68</v>
      </c>
      <c r="F10" s="52" t="n">
        <v>289.52</v>
      </c>
      <c r="G10" s="52" t="n">
        <v>8.96</v>
      </c>
      <c r="H10" s="52" t="n">
        <v>7.45</v>
      </c>
      <c r="I10" s="52" t="n">
        <v>19.18</v>
      </c>
      <c r="J10" s="52" t="n">
        <v>4</v>
      </c>
      <c r="K10" s="52" t="n">
        <v>1.62</v>
      </c>
      <c r="L10" s="52" t="n">
        <v>1.82</v>
      </c>
      <c r="M10" s="52" t="n">
        <v>2.94</v>
      </c>
      <c r="N10" s="52" t="n">
        <v>22.82</v>
      </c>
      <c r="O10" s="52" t="n">
        <v>2.38</v>
      </c>
      <c r="P10" s="52" t="n">
        <v>1.82</v>
      </c>
    </row>
    <row r="11" ht="24.95" customHeight="1">
      <c r="A11" s="347" t="s">
        <v>1225</v>
      </c>
      <c r="B11" s="51" t="n">
        <f>SUM(C11:P11)</f>
        <v>319</v>
      </c>
      <c r="C11" s="52" t="n">
        <v>45</v>
      </c>
      <c r="D11" s="52" t="n">
        <v>45</v>
      </c>
      <c r="E11" s="52" t="n">
        <v>45</v>
      </c>
      <c r="F11" s="52" t="n">
        <v>45</v>
      </c>
      <c r="G11" s="52" t="n">
        <v>10</v>
      </c>
      <c r="H11" s="52" t="n">
        <v>10</v>
      </c>
      <c r="I11" s="52" t="n">
        <v>45</v>
      </c>
      <c r="J11" s="52" t="n">
        <v>5</v>
      </c>
      <c r="K11" s="52" t="n">
        <v>3</v>
      </c>
      <c r="L11" s="52" t="n">
        <v>4</v>
      </c>
      <c r="M11" s="52" t="n">
        <v>5</v>
      </c>
      <c r="N11" s="52" t="n">
        <v>45</v>
      </c>
      <c r="O11" s="52" t="n">
        <v>6</v>
      </c>
      <c r="P11" s="52" t="n">
        <v>6</v>
      </c>
    </row>
    <row r="12" ht="24.95" customHeight="1">
      <c r="A12" s="347" t="s">
        <v>1226</v>
      </c>
      <c r="B12" s="51" t="n">
        <f>SUM(C12:P12)</f>
        <v>219</v>
      </c>
      <c r="C12" s="52" t="n">
        <v>20</v>
      </c>
      <c r="D12" s="52" t="n">
        <v>20</v>
      </c>
      <c r="E12" s="52" t="n">
        <v>20</v>
      </c>
      <c r="F12" s="52" t="n">
        <v>20</v>
      </c>
      <c r="G12" s="52" t="n">
        <v>20</v>
      </c>
      <c r="H12" s="52" t="n">
        <v>20</v>
      </c>
      <c r="I12" s="52" t="n">
        <v>20</v>
      </c>
      <c r="J12" s="52" t="n">
        <v>6</v>
      </c>
      <c r="K12" s="52" t="n">
        <v>3</v>
      </c>
      <c r="L12" s="52" t="n">
        <v>20</v>
      </c>
      <c r="M12" s="52" t="n">
        <v>20</v>
      </c>
      <c r="N12" s="52" t="n">
        <v>20</v>
      </c>
      <c r="O12" s="52" t="n">
        <v>5</v>
      </c>
      <c r="P12" s="52" t="n">
        <v>5</v>
      </c>
    </row>
    <row r="13" ht="24.95" customHeight="1">
      <c r="A13" s="347" t="s">
        <v>1227</v>
      </c>
      <c r="B13" s="51" t="n">
        <f>SUM(C13:P13)</f>
        <v>542</v>
      </c>
      <c r="C13" s="52" t="n">
        <v>85</v>
      </c>
      <c r="D13" s="52" t="n">
        <v>85</v>
      </c>
      <c r="E13" s="52" t="n">
        <v>85</v>
      </c>
      <c r="F13" s="52" t="n">
        <v>85</v>
      </c>
      <c r="G13" s="52" t="n">
        <v>5</v>
      </c>
      <c r="H13" s="52" t="n">
        <v>5</v>
      </c>
      <c r="I13" s="52" t="n">
        <v>85</v>
      </c>
      <c r="J13" s="52" t="n">
        <v>5</v>
      </c>
      <c r="K13" s="52" t="n">
        <v>3</v>
      </c>
      <c r="L13" s="52" t="n">
        <v>3</v>
      </c>
      <c r="M13" s="52" t="n">
        <v>5</v>
      </c>
      <c r="N13" s="52" t="n">
        <v>85</v>
      </c>
      <c r="O13" s="52" t="n">
        <v>3</v>
      </c>
      <c r="P13" s="52" t="n">
        <v>3</v>
      </c>
    </row>
    <row r="14" ht="24.95" customHeight="1">
      <c r="A14" s="347" t="s">
        <v>1228</v>
      </c>
      <c r="B14" s="51" t="n">
        <f>SUM(C14:P14)</f>
        <v>166</v>
      </c>
      <c r="C14" s="52" t="n">
        <v>18</v>
      </c>
      <c r="D14" s="52" t="n">
        <v>18</v>
      </c>
      <c r="E14" s="52" t="n">
        <v>18</v>
      </c>
      <c r="F14" s="52" t="n">
        <v>18</v>
      </c>
      <c r="G14" s="52" t="n">
        <v>18</v>
      </c>
      <c r="H14" s="52" t="n">
        <v>18</v>
      </c>
      <c r="I14" s="52" t="n">
        <v>18</v>
      </c>
      <c r="J14" s="52" t="n">
        <v>6</v>
      </c>
      <c r="K14" s="52" t="n">
        <v>3</v>
      </c>
      <c r="L14" s="52" t="n">
        <v>3</v>
      </c>
      <c r="M14" s="52" t="n">
        <v>6</v>
      </c>
      <c r="N14" s="52" t="n">
        <v>18</v>
      </c>
      <c r="O14" s="52" t="n">
        <v>2</v>
      </c>
      <c r="P14" s="52" t="n">
        <v>2</v>
      </c>
    </row>
    <row r="15" ht="24.95" customHeight="1">
      <c r="A15" s="347" t="s">
        <v>1229</v>
      </c>
      <c r="B15" s="51" t="n">
        <f>SUM(C15:P15)</f>
        <v>302</v>
      </c>
      <c r="C15" s="52" t="n">
        <v>35</v>
      </c>
      <c r="D15" s="52" t="n">
        <v>33</v>
      </c>
      <c r="E15" s="52" t="n">
        <v>35</v>
      </c>
      <c r="F15" s="52" t="n">
        <v>55</v>
      </c>
      <c r="G15" s="52" t="n">
        <v>8</v>
      </c>
      <c r="H15" s="52" t="n">
        <v>8</v>
      </c>
      <c r="I15" s="52" t="n">
        <v>35</v>
      </c>
      <c r="J15" s="52" t="n">
        <v>10</v>
      </c>
      <c r="K15" s="52" t="n">
        <v>6</v>
      </c>
      <c r="L15" s="52" t="n">
        <v>6</v>
      </c>
      <c r="M15" s="52" t="n">
        <v>10</v>
      </c>
      <c r="N15" s="52" t="n">
        <v>45</v>
      </c>
      <c r="O15" s="52" t="n">
        <v>8</v>
      </c>
      <c r="P15" s="52" t="n">
        <v>8</v>
      </c>
    </row>
    <row r="16" ht="24.95" customHeight="1">
      <c r="A16" s="347" t="s">
        <v>1230</v>
      </c>
      <c r="B16" s="51" t="n">
        <f>SUM(C16:P16)</f>
        <v>48</v>
      </c>
      <c r="C16" s="52" t="n">
        <v>5</v>
      </c>
      <c r="D16" s="52" t="n">
        <v>5</v>
      </c>
      <c r="E16" s="52" t="n">
        <v>6</v>
      </c>
      <c r="F16" s="52" t="n">
        <v>6</v>
      </c>
      <c r="G16" s="52" t="n">
        <v>5</v>
      </c>
      <c r="H16" s="52" t="n">
        <v>5</v>
      </c>
      <c r="I16" s="52" t="n">
        <v>5</v>
      </c>
      <c r="J16" s="52" t="n">
        <v>1</v>
      </c>
      <c r="K16" s="52" t="n">
        <v>1</v>
      </c>
      <c r="L16" s="52" t="n">
        <v>1</v>
      </c>
      <c r="M16" s="52" t="n">
        <v>1</v>
      </c>
      <c r="N16" s="52" t="n">
        <v>5</v>
      </c>
      <c r="O16" s="52" t="n">
        <v>1</v>
      </c>
      <c r="P16" s="52" t="n">
        <v>1</v>
      </c>
    </row>
    <row r="17" ht="24.95" customHeight="1">
      <c r="A17" s="347" t="s">
        <v>1231</v>
      </c>
      <c r="B17" s="51" t="n">
        <f>SUM(C17:P17)</f>
        <v>2019.69</v>
      </c>
      <c r="C17" s="52" t="n">
        <v>225.64</v>
      </c>
      <c r="D17" s="52" t="n">
        <v>219.86</v>
      </c>
      <c r="E17" s="52" t="n">
        <v>238.68</v>
      </c>
      <c r="F17" s="52" t="n">
        <v>518.52</v>
      </c>
      <c r="G17" s="52" t="n">
        <v>74.96</v>
      </c>
      <c r="H17" s="52" t="n">
        <v>73.45</v>
      </c>
      <c r="I17" s="52" t="n">
        <v>227.18</v>
      </c>
      <c r="J17" s="52" t="n">
        <v>37</v>
      </c>
      <c r="K17" s="52" t="n">
        <v>20.62</v>
      </c>
      <c r="L17" s="52" t="n">
        <v>38.82</v>
      </c>
      <c r="M17" s="52" t="n">
        <v>49.94</v>
      </c>
      <c r="N17" s="52" t="n">
        <v>240.82</v>
      </c>
      <c r="O17" s="52" t="n">
        <v>27.38</v>
      </c>
      <c r="P17" s="52" t="n">
        <v>26.82</v>
      </c>
    </row>
    <row r="18" ht="24.95" customHeight="1">
      <c r="A18" s="347" t="s">
        <v>1232</v>
      </c>
      <c r="B18" s="51" t="n">
        <f>SUM(C18:P18)</f>
        <v>3736.44</v>
      </c>
      <c r="C18" s="52" t="n">
        <v>417.43</v>
      </c>
      <c r="D18" s="52" t="n">
        <v>406.74</v>
      </c>
      <c r="E18" s="52" t="n">
        <v>441.56</v>
      </c>
      <c r="F18" s="52" t="n">
        <v>959.26</v>
      </c>
      <c r="G18" s="52" t="n">
        <v>138.68</v>
      </c>
      <c r="H18" s="52" t="n">
        <v>135.88</v>
      </c>
      <c r="I18" s="52" t="n">
        <v>420.28</v>
      </c>
      <c r="J18" s="52" t="n">
        <v>68.46</v>
      </c>
      <c r="K18" s="52" t="n">
        <v>38.15</v>
      </c>
      <c r="L18" s="52" t="n">
        <v>71.82</v>
      </c>
      <c r="M18" s="52" t="n">
        <v>92.39</v>
      </c>
      <c r="N18" s="52" t="n">
        <v>445.52</v>
      </c>
      <c r="O18" s="52" t="n">
        <v>50.65</v>
      </c>
      <c r="P18" s="52" t="n">
        <v>49.62</v>
      </c>
    </row>
    <row r="19" ht="24.95" customHeight="1">
      <c r="A19" s="347" t="s">
        <v>1233</v>
      </c>
      <c r="B19" s="51" t="n">
        <f>SUM(C19:P19)</f>
        <v>4039.4</v>
      </c>
      <c r="C19" s="52" t="n">
        <v>451.28</v>
      </c>
      <c r="D19" s="52" t="n">
        <v>439.72</v>
      </c>
      <c r="E19" s="52" t="n">
        <v>477.36</v>
      </c>
      <c r="F19" s="52" t="n">
        <v>1037.04</v>
      </c>
      <c r="G19" s="52" t="n">
        <v>149.92</v>
      </c>
      <c r="H19" s="52" t="n">
        <v>146.9</v>
      </c>
      <c r="I19" s="52" t="n">
        <v>454.36</v>
      </c>
      <c r="J19" s="52" t="n">
        <v>74.01</v>
      </c>
      <c r="K19" s="52" t="n">
        <v>41.25</v>
      </c>
      <c r="L19" s="52" t="n">
        <v>77.64</v>
      </c>
      <c r="M19" s="52" t="n">
        <v>99.88</v>
      </c>
      <c r="N19" s="52" t="n">
        <v>481.64</v>
      </c>
      <c r="O19" s="52" t="n">
        <v>54.76</v>
      </c>
      <c r="P19" s="52" t="n">
        <v>53.64</v>
      </c>
    </row>
    <row r="20" ht="24.95" customHeight="1">
      <c r="A20" s="972" t="s">
        <v>1234</v>
      </c>
      <c r="B20" s="972"/>
      <c r="C20" s="972"/>
      <c r="D20" s="972"/>
      <c r="E20" s="972"/>
      <c r="F20" s="972"/>
      <c r="G20" s="972"/>
      <c r="H20" s="972"/>
      <c r="I20" s="972"/>
      <c r="J20" s="972"/>
      <c r="K20" s="972"/>
      <c r="L20" s="972"/>
      <c r="M20" s="972"/>
      <c r="N20" s="972"/>
      <c r="O20" s="30"/>
      <c r="P20" s="30"/>
    </row>
    <row r="21" ht="24.95" customHeight="1">
      <c r="A21" s="972" t="s">
        <v>1235</v>
      </c>
      <c r="B21" s="972"/>
      <c r="C21" s="972"/>
      <c r="D21" s="972"/>
      <c r="E21" s="972"/>
      <c r="F21" s="972"/>
      <c r="G21" s="972"/>
      <c r="H21" s="972"/>
      <c r="I21" s="972"/>
      <c r="J21" s="972"/>
      <c r="K21" s="972"/>
      <c r="L21" s="972"/>
      <c r="M21" s="972"/>
      <c r="N21" s="972"/>
      <c r="O21" s="30"/>
      <c r="P21" s="30"/>
    </row>
    <row r="22" ht="24.95" customHeight="1">
      <c r="A22" s="972" t="s">
        <v>1236</v>
      </c>
      <c r="B22" s="972"/>
      <c r="C22" s="972"/>
      <c r="D22" s="972"/>
      <c r="E22" s="972"/>
      <c r="F22" s="972"/>
      <c r="G22" s="972"/>
      <c r="H22" s="972"/>
      <c r="I22" s="972"/>
      <c r="J22" s="972"/>
      <c r="K22" s="972"/>
      <c r="L22" s="972"/>
      <c r="M22" s="972"/>
      <c r="N22" s="972"/>
      <c r="O22" s="30"/>
      <c r="P22" s="30"/>
    </row>
    <row r="23" ht="24.95" customHeight="1">
      <c r="A23" s="972"/>
      <c r="B23" s="972"/>
      <c r="C23" s="972"/>
      <c r="D23" s="972"/>
      <c r="E23" s="972"/>
      <c r="F23" s="972"/>
      <c r="G23" s="972"/>
      <c r="H23" s="972"/>
      <c r="I23" s="972"/>
      <c r="J23" s="972"/>
      <c r="K23" s="972"/>
      <c r="L23" s="972"/>
      <c r="M23" s="972"/>
      <c r="N23" s="972"/>
      <c r="O23" s="30"/>
      <c r="P23" s="30"/>
    </row>
    <row r="24" ht="24.95" customHeight="1">
      <c r="A24" s="54"/>
      <c r="B24" s="54"/>
    </row>
    <row r="25" ht="24.95" customHeight="1">
      <c r="A25" s="54"/>
      <c r="B25" s="54"/>
    </row>
    <row r="26" ht="24.95" customHeight="1">
      <c r="A26" s="54"/>
      <c r="B26" s="54"/>
    </row>
    <row r="27" ht="24.95" customHeight="1">
      <c r="A27" s="54"/>
      <c r="B27" s="54"/>
    </row>
    <row r="28" ht="14.25" customHeight="1">
      <c r="A28" s="54"/>
      <c r="B28" s="54"/>
    </row>
  </sheetData>
  <mergeCells count="11">
    <mergeCell ref="J7:M7"/>
    <mergeCell ref="G6:H6"/>
    <mergeCell ref="A1:N1"/>
    <mergeCell ref="J6:M6"/>
    <mergeCell ref="A23:N23"/>
    <mergeCell ref="O7:P7"/>
    <mergeCell ref="A20:N20"/>
    <mergeCell ref="G7:H7"/>
    <mergeCell ref="A22:N22"/>
    <mergeCell ref="O6:P6"/>
    <mergeCell ref="A21:N21"/>
  </mergeCells>
  <phoneticPr fontId="1" type="noConversion"/>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2" max="2" width="26.33203125" customWidth="1" style="251"/>
    <col min="3" max="3" width="27.6650390625" customWidth="1" style="256"/>
    <col min="4" max="4" width="19.3330078125" customWidth="1" style="256"/>
    <col min="7" max="7" width="19.166015625" customWidth="1" style="256"/>
    <col min="8" max="8" width="11.33203125" customWidth="1" style="256"/>
    <col min="9" max="9" width="19.3330078125" customWidth="1" style="256"/>
    <col min="12" max="12" width="19.166015625" customWidth="1" style="256"/>
    <col min="13" max="13" width="11.33203125" customWidth="1" style="256"/>
  </cols>
  <sheetData>
    <row r="1" ht="24.95" customHeight="1">
      <c r="A1" s="991" t="s">
        <v>1237</v>
      </c>
      <c r="B1" s="992"/>
      <c r="C1" s="992"/>
      <c r="D1" s="992"/>
      <c r="E1" s="992"/>
      <c r="F1" s="992"/>
      <c r="G1" s="992"/>
      <c r="H1" s="992"/>
      <c r="I1" s="992"/>
      <c r="J1" s="992"/>
      <c r="K1" s="992"/>
      <c r="L1" s="992"/>
      <c r="M1" s="993"/>
    </row>
    <row r="2" ht="24.95" customHeight="1">
      <c r="A2" s="996" t="s">
        <v>1238</v>
      </c>
      <c r="B2" s="997"/>
      <c r="C2" s="997"/>
      <c r="D2" s="997"/>
      <c r="E2" s="997"/>
      <c r="F2" s="997"/>
      <c r="G2" s="997"/>
      <c r="H2" s="997"/>
      <c r="I2" s="997"/>
      <c r="J2" s="997"/>
      <c r="K2" s="997"/>
      <c r="L2" s="997"/>
      <c r="M2" s="998"/>
    </row>
    <row r="3" ht="18.75" customHeight="1">
      <c r="A3" s="1003"/>
      <c r="B3" s="1003"/>
      <c r="C3" s="1003"/>
      <c r="D3" s="319"/>
      <c r="E3" s="1015" t="s">
        <v>1239</v>
      </c>
      <c r="F3" s="1016"/>
      <c r="G3" s="1017"/>
      <c r="H3" s="977" t="s">
        <v>3</v>
      </c>
      <c r="I3" s="319"/>
      <c r="J3" s="1015" t="s">
        <v>1239</v>
      </c>
      <c r="K3" s="1016"/>
      <c r="L3" s="1017"/>
      <c r="M3" s="977" t="s">
        <v>3</v>
      </c>
    </row>
    <row r="4" ht="27" customHeight="1">
      <c r="A4" s="391" t="s">
        <v>214</v>
      </c>
      <c r="B4" s="994" t="s">
        <v>1240</v>
      </c>
      <c r="C4" s="995"/>
      <c r="D4" s="443" t="s">
        <v>1241</v>
      </c>
      <c r="E4" s="1170" t="s">
        <v>1242</v>
      </c>
      <c r="F4" s="443" t="s">
        <v>1018</v>
      </c>
      <c r="G4" s="1171" t="s">
        <v>1243</v>
      </c>
      <c r="H4" s="977"/>
      <c r="I4" s="443" t="s">
        <v>1241</v>
      </c>
      <c r="J4" s="1172" t="s">
        <v>1242</v>
      </c>
      <c r="K4" s="443" t="s">
        <v>1018</v>
      </c>
      <c r="L4" s="1173" t="s">
        <v>1243</v>
      </c>
      <c r="M4" s="977"/>
    </row>
    <row r="5" ht="14.25" customHeight="1">
      <c r="A5" s="458" t="s">
        <v>5</v>
      </c>
      <c r="B5" s="783" t="s">
        <v>5</v>
      </c>
      <c r="C5" s="783" t="s">
        <v>5</v>
      </c>
      <c r="D5" s="783" t="s">
        <v>5</v>
      </c>
      <c r="E5" s="783" t="s">
        <v>5</v>
      </c>
      <c r="F5" s="783" t="s">
        <v>5</v>
      </c>
      <c r="G5" s="805" t="s">
        <v>5</v>
      </c>
      <c r="H5" s="783" t="s">
        <v>5</v>
      </c>
      <c r="I5" s="783" t="s">
        <v>5</v>
      </c>
      <c r="J5" s="783" t="s">
        <v>5</v>
      </c>
      <c r="K5" s="783" t="s">
        <v>5</v>
      </c>
      <c r="L5" s="805" t="s">
        <v>5</v>
      </c>
      <c r="M5" s="783" t="s">
        <v>5</v>
      </c>
    </row>
    <row r="6" ht="14.25" customHeight="1">
      <c r="A6" s="1011" t="s">
        <v>1244</v>
      </c>
      <c r="B6" s="989" t="s">
        <v>1245</v>
      </c>
      <c r="C6" s="5" t="s">
        <v>81</v>
      </c>
      <c r="D6" s="6" t="s">
        <v>1246</v>
      </c>
      <c r="E6" s="7" t="n">
        <v>2700</v>
      </c>
      <c r="F6" s="8" t="n">
        <v>1</v>
      </c>
      <c r="G6" s="9" t="n">
        <f>E6*F6</f>
        <v>2700</v>
      </c>
      <c r="H6" s="977" t="s">
        <v>1247</v>
      </c>
      <c r="I6" s="6" t="s">
        <v>1246</v>
      </c>
      <c r="J6" s="7" t="n">
        <v>2700</v>
      </c>
      <c r="K6" s="8" t="n">
        <v>1</v>
      </c>
      <c r="L6" s="9" t="n">
        <f>J6*K6</f>
        <v>2700</v>
      </c>
      <c r="M6" s="977" t="s">
        <v>1247</v>
      </c>
    </row>
    <row r="7" ht="14.25" customHeight="1">
      <c r="A7" s="1011"/>
      <c r="B7" s="989"/>
      <c r="C7" s="5" t="s">
        <v>83</v>
      </c>
      <c r="D7" s="6" t="s">
        <v>1248</v>
      </c>
      <c r="E7" s="7" t="n">
        <v>2900</v>
      </c>
      <c r="F7" s="8" t="n">
        <v>1</v>
      </c>
      <c r="G7" s="9" t="n">
        <f>E7*F7</f>
        <v>2900</v>
      </c>
      <c r="H7" s="977"/>
      <c r="I7" s="6" t="s">
        <v>1248</v>
      </c>
      <c r="J7" s="7" t="n">
        <v>2900</v>
      </c>
      <c r="K7" s="8" t="n">
        <v>1</v>
      </c>
      <c r="L7" s="9" t="n">
        <f>J7*K7</f>
        <v>2900</v>
      </c>
      <c r="M7" s="977"/>
    </row>
    <row r="8" ht="14.25" customHeight="1">
      <c r="A8" s="1011"/>
      <c r="B8" s="989"/>
      <c r="C8" s="5" t="s">
        <v>84</v>
      </c>
      <c r="D8" s="6" t="s">
        <v>1249</v>
      </c>
      <c r="E8" s="7" t="n">
        <v>2500</v>
      </c>
      <c r="F8" s="8" t="n">
        <v>1</v>
      </c>
      <c r="G8" s="9" t="n">
        <f>E8*F8</f>
        <v>2500</v>
      </c>
      <c r="H8" s="977"/>
      <c r="I8" s="6" t="s">
        <v>1249</v>
      </c>
      <c r="J8" s="7" t="n">
        <v>2500</v>
      </c>
      <c r="K8" s="8" t="n">
        <v>1</v>
      </c>
      <c r="L8" s="9" t="n">
        <f>J8*K8</f>
        <v>2500</v>
      </c>
      <c r="M8" s="977"/>
    </row>
    <row r="9" ht="14.25" customHeight="1">
      <c r="A9" s="1011"/>
      <c r="B9" s="989"/>
      <c r="C9" s="5" t="s">
        <v>85</v>
      </c>
      <c r="D9" s="6" t="s">
        <v>1249</v>
      </c>
      <c r="E9" s="7" t="n">
        <v>2500</v>
      </c>
      <c r="F9" s="8" t="n">
        <v>1</v>
      </c>
      <c r="G9" s="9" t="n">
        <f>E9*F9</f>
        <v>2500</v>
      </c>
      <c r="H9" s="977"/>
      <c r="I9" s="6" t="s">
        <v>1249</v>
      </c>
      <c r="J9" s="7" t="n">
        <v>2500</v>
      </c>
      <c r="K9" s="8" t="n">
        <v>1</v>
      </c>
      <c r="L9" s="9" t="n">
        <f>J9*K9</f>
        <v>2500</v>
      </c>
      <c r="M9" s="977"/>
    </row>
    <row r="10" ht="14.25" customHeight="1">
      <c r="A10" s="1011"/>
      <c r="B10" s="989"/>
      <c r="C10" s="5" t="s">
        <v>86</v>
      </c>
      <c r="D10" s="6" t="s">
        <v>1249</v>
      </c>
      <c r="E10" s="7" t="n">
        <v>2500</v>
      </c>
      <c r="F10" s="8" t="n">
        <v>1</v>
      </c>
      <c r="G10" s="9" t="n">
        <f>E10*F10</f>
        <v>2500</v>
      </c>
      <c r="H10" s="977"/>
      <c r="I10" s="6" t="s">
        <v>1249</v>
      </c>
      <c r="J10" s="7" t="n">
        <v>2500</v>
      </c>
      <c r="K10" s="8" t="n">
        <v>1</v>
      </c>
      <c r="L10" s="9" t="n">
        <f>J10*K10</f>
        <v>2500</v>
      </c>
      <c r="M10" s="977"/>
    </row>
    <row r="11" ht="14.25" customHeight="1">
      <c r="A11" s="1011"/>
      <c r="B11" s="989"/>
      <c r="C11" s="5" t="s">
        <v>87</v>
      </c>
      <c r="D11" s="6" t="s">
        <v>1250</v>
      </c>
      <c r="E11" s="7" t="n">
        <v>1327.43</v>
      </c>
      <c r="F11" s="8" t="n">
        <v>1</v>
      </c>
      <c r="G11" s="9" t="n">
        <f>E11*F11</f>
        <v>1327.43</v>
      </c>
      <c r="H11" s="977"/>
      <c r="I11" s="6" t="s">
        <v>1250</v>
      </c>
      <c r="J11" s="7" t="n">
        <v>1327.43</v>
      </c>
      <c r="K11" s="8" t="n">
        <v>1</v>
      </c>
      <c r="L11" s="9" t="n">
        <f>J11*K11</f>
        <v>1327.43</v>
      </c>
      <c r="M11" s="977"/>
    </row>
    <row r="12" ht="14.25" customHeight="1">
      <c r="A12" s="1011"/>
      <c r="B12" s="990"/>
      <c r="C12" s="5" t="s">
        <v>88</v>
      </c>
      <c r="D12" s="6" t="s">
        <v>1249</v>
      </c>
      <c r="E12" s="7" t="n">
        <v>2500</v>
      </c>
      <c r="F12" s="8" t="n">
        <v>1</v>
      </c>
      <c r="G12" s="9" t="n">
        <f>E12*F12</f>
        <v>2500</v>
      </c>
      <c r="H12" s="977"/>
      <c r="I12" s="6" t="s">
        <v>1249</v>
      </c>
      <c r="J12" s="7" t="n">
        <v>2500</v>
      </c>
      <c r="K12" s="8" t="n">
        <v>1</v>
      </c>
      <c r="L12" s="9" t="n">
        <f>J12*K12</f>
        <v>2500</v>
      </c>
      <c r="M12" s="977"/>
    </row>
    <row r="13" ht="14.25" customHeight="1">
      <c r="A13" s="1014"/>
      <c r="B13" s="983" t="s">
        <v>1251</v>
      </c>
      <c r="C13" s="983"/>
      <c r="D13" s="10"/>
      <c r="E13" s="982" t="n">
        <f>SUM(G6:G12)</f>
        <v>16927.43</v>
      </c>
      <c r="F13" s="988"/>
      <c r="G13" s="988"/>
      <c r="H13" s="977"/>
      <c r="I13" s="10"/>
      <c r="J13" s="982" t="n">
        <f>SUM(L6:L12)</f>
        <v>16927.43</v>
      </c>
      <c r="K13" s="988"/>
      <c r="L13" s="988"/>
      <c r="M13" s="977"/>
    </row>
    <row r="14" ht="14.25" customHeight="1">
      <c r="A14" s="11" t="s">
        <v>5</v>
      </c>
      <c r="B14" s="783" t="s">
        <v>5</v>
      </c>
      <c r="C14" s="783" t="s">
        <v>5</v>
      </c>
      <c r="D14" s="783" t="s">
        <v>5</v>
      </c>
      <c r="E14" s="783" t="s">
        <v>5</v>
      </c>
      <c r="F14" s="783" t="s">
        <v>5</v>
      </c>
      <c r="G14" s="805" t="s">
        <v>5</v>
      </c>
      <c r="H14" s="783" t="s">
        <v>5</v>
      </c>
      <c r="I14" s="783" t="s">
        <v>5</v>
      </c>
      <c r="J14" s="783" t="s">
        <v>5</v>
      </c>
      <c r="K14" s="783" t="s">
        <v>5</v>
      </c>
      <c r="L14" s="805" t="s">
        <v>5</v>
      </c>
      <c r="M14" s="783" t="s">
        <v>5</v>
      </c>
    </row>
    <row r="15" ht="14.25" customHeight="1">
      <c r="A15" s="987" t="s">
        <v>1252</v>
      </c>
      <c r="B15" s="1000" t="s">
        <v>1253</v>
      </c>
      <c r="C15" s="1001" t="s">
        <v>1253</v>
      </c>
      <c r="D15" s="13" t="s">
        <v>1214</v>
      </c>
      <c r="E15" s="7"/>
      <c r="F15" s="8"/>
      <c r="G15" s="9"/>
      <c r="H15" s="984" t="s">
        <v>1254</v>
      </c>
      <c r="I15" s="13" t="s">
        <v>1214</v>
      </c>
      <c r="J15" s="7"/>
      <c r="K15" s="8"/>
      <c r="L15" s="9"/>
      <c r="M15" s="984" t="s">
        <v>1247</v>
      </c>
    </row>
    <row r="16" ht="14.25" customHeight="1">
      <c r="A16" s="987"/>
      <c r="B16" s="978" t="s">
        <v>1255</v>
      </c>
      <c r="C16" s="979" t="s">
        <v>1255</v>
      </c>
      <c r="D16" s="13" t="s">
        <v>1214</v>
      </c>
      <c r="E16" s="7"/>
      <c r="F16" s="8"/>
      <c r="G16" s="9"/>
      <c r="H16" s="985"/>
      <c r="I16" s="13" t="s">
        <v>1214</v>
      </c>
      <c r="J16" s="7"/>
      <c r="K16" s="8"/>
      <c r="L16" s="9"/>
      <c r="M16" s="985"/>
    </row>
    <row r="17" ht="14.25" customHeight="1">
      <c r="A17" s="987"/>
      <c r="B17" s="978" t="s">
        <v>1256</v>
      </c>
      <c r="C17" s="979" t="s">
        <v>1256</v>
      </c>
      <c r="D17" s="13" t="s">
        <v>1214</v>
      </c>
      <c r="E17" s="7"/>
      <c r="F17" s="8"/>
      <c r="G17" s="9"/>
      <c r="H17" s="985"/>
      <c r="I17" s="13" t="s">
        <v>1214</v>
      </c>
      <c r="J17" s="7"/>
      <c r="K17" s="8"/>
      <c r="L17" s="9"/>
      <c r="M17" s="985"/>
    </row>
    <row r="18" ht="14.25" customHeight="1">
      <c r="A18" s="987"/>
      <c r="B18" s="978" t="s">
        <v>1257</v>
      </c>
      <c r="C18" s="979" t="s">
        <v>1257</v>
      </c>
      <c r="D18" s="13" t="s">
        <v>1214</v>
      </c>
      <c r="E18" s="7"/>
      <c r="F18" s="8"/>
      <c r="G18" s="9"/>
      <c r="H18" s="985"/>
      <c r="I18" s="13" t="s">
        <v>1214</v>
      </c>
      <c r="J18" s="7"/>
      <c r="K18" s="8"/>
      <c r="L18" s="9"/>
      <c r="M18" s="985"/>
    </row>
    <row r="19" ht="14.25" customHeight="1">
      <c r="A19" s="987"/>
      <c r="B19" s="978" t="s">
        <v>1258</v>
      </c>
      <c r="C19" s="979" t="s">
        <v>1258</v>
      </c>
      <c r="D19" s="13" t="s">
        <v>1214</v>
      </c>
      <c r="E19" s="7"/>
      <c r="F19" s="8"/>
      <c r="G19" s="9"/>
      <c r="H19" s="985"/>
      <c r="I19" s="13" t="s">
        <v>1214</v>
      </c>
      <c r="J19" s="7"/>
      <c r="K19" s="8"/>
      <c r="L19" s="9"/>
      <c r="M19" s="985"/>
    </row>
    <row r="20" ht="14.25" customHeight="1">
      <c r="A20" s="987"/>
      <c r="B20" s="978" t="s">
        <v>1259</v>
      </c>
      <c r="C20" s="979" t="s">
        <v>1259</v>
      </c>
      <c r="D20" s="13" t="s">
        <v>1214</v>
      </c>
      <c r="E20" s="7"/>
      <c r="F20" s="8"/>
      <c r="G20" s="9"/>
      <c r="H20" s="985"/>
      <c r="I20" s="13" t="s">
        <v>1214</v>
      </c>
      <c r="J20" s="7"/>
      <c r="K20" s="8"/>
      <c r="L20" s="9"/>
      <c r="M20" s="985"/>
    </row>
    <row r="21" ht="14.25" customHeight="1">
      <c r="A21" s="987"/>
      <c r="B21" s="978" t="s">
        <v>1260</v>
      </c>
      <c r="C21" s="979" t="s">
        <v>1260</v>
      </c>
      <c r="D21" s="13" t="s">
        <v>1214</v>
      </c>
      <c r="E21" s="7"/>
      <c r="F21" s="8"/>
      <c r="G21" s="9"/>
      <c r="H21" s="985"/>
      <c r="I21" s="13" t="s">
        <v>1214</v>
      </c>
      <c r="J21" s="7"/>
      <c r="K21" s="8"/>
      <c r="L21" s="9"/>
      <c r="M21" s="985"/>
    </row>
    <row r="22" ht="14.25" customHeight="1">
      <c r="A22" s="987"/>
      <c r="B22" s="978" t="s">
        <v>1261</v>
      </c>
      <c r="C22" s="979" t="s">
        <v>1261</v>
      </c>
      <c r="D22" s="13" t="s">
        <v>1214</v>
      </c>
      <c r="E22" s="7"/>
      <c r="F22" s="8"/>
      <c r="G22" s="9"/>
      <c r="H22" s="985"/>
      <c r="I22" s="13" t="s">
        <v>1214</v>
      </c>
      <c r="J22" s="7"/>
      <c r="K22" s="8"/>
      <c r="L22" s="9"/>
      <c r="M22" s="985"/>
    </row>
    <row r="23" ht="14.25" customHeight="1">
      <c r="A23" s="987"/>
      <c r="B23" s="978" t="s">
        <v>1262</v>
      </c>
      <c r="C23" s="979" t="s">
        <v>1262</v>
      </c>
      <c r="D23" s="13" t="s">
        <v>1214</v>
      </c>
      <c r="E23" s="7"/>
      <c r="F23" s="8"/>
      <c r="G23" s="9"/>
      <c r="H23" s="985"/>
      <c r="I23" s="13" t="s">
        <v>1214</v>
      </c>
      <c r="J23" s="7"/>
      <c r="K23" s="8"/>
      <c r="L23" s="9"/>
      <c r="M23" s="985"/>
    </row>
    <row r="24" ht="14.25" customHeight="1">
      <c r="A24" s="987"/>
      <c r="B24" s="978" t="s">
        <v>1263</v>
      </c>
      <c r="C24" s="979" t="s">
        <v>1263</v>
      </c>
      <c r="D24" s="13" t="s">
        <v>1214</v>
      </c>
      <c r="E24" s="7"/>
      <c r="F24" s="8"/>
      <c r="G24" s="9"/>
      <c r="H24" s="985"/>
      <c r="I24" s="13" t="s">
        <v>1214</v>
      </c>
      <c r="J24" s="7"/>
      <c r="K24" s="8"/>
      <c r="L24" s="9"/>
      <c r="M24" s="985"/>
    </row>
    <row r="25" ht="14.25" customHeight="1">
      <c r="A25" s="987"/>
      <c r="B25" s="978" t="s">
        <v>1264</v>
      </c>
      <c r="C25" s="979" t="s">
        <v>1264</v>
      </c>
      <c r="D25" s="13" t="s">
        <v>1214</v>
      </c>
      <c r="E25" s="7"/>
      <c r="F25" s="8"/>
      <c r="G25" s="9"/>
      <c r="H25" s="985"/>
      <c r="I25" s="13" t="s">
        <v>1214</v>
      </c>
      <c r="J25" s="7"/>
      <c r="K25" s="8"/>
      <c r="L25" s="9"/>
      <c r="M25" s="985"/>
    </row>
    <row r="26" ht="14.25" customHeight="1">
      <c r="A26" s="987"/>
      <c r="B26" s="978" t="s">
        <v>1265</v>
      </c>
      <c r="C26" s="979" t="s">
        <v>1265</v>
      </c>
      <c r="D26" s="13" t="s">
        <v>1214</v>
      </c>
      <c r="E26" s="7"/>
      <c r="F26" s="8"/>
      <c r="G26" s="9"/>
      <c r="H26" s="985"/>
      <c r="I26" s="13" t="s">
        <v>1214</v>
      </c>
      <c r="J26" s="7"/>
      <c r="K26" s="8"/>
      <c r="L26" s="9"/>
      <c r="M26" s="985"/>
    </row>
    <row r="27" ht="14.25" customHeight="1">
      <c r="A27" s="987"/>
      <c r="B27" s="978" t="s">
        <v>1266</v>
      </c>
      <c r="C27" s="979" t="s">
        <v>1266</v>
      </c>
      <c r="D27" s="13" t="s">
        <v>1214</v>
      </c>
      <c r="E27" s="7"/>
      <c r="F27" s="8"/>
      <c r="G27" s="9"/>
      <c r="H27" s="985"/>
      <c r="I27" s="13" t="s">
        <v>1214</v>
      </c>
      <c r="J27" s="7"/>
      <c r="K27" s="8"/>
      <c r="L27" s="9"/>
      <c r="M27" s="985"/>
    </row>
    <row r="28" ht="14.25" customHeight="1">
      <c r="A28" s="987"/>
      <c r="B28" s="978" t="s">
        <v>1267</v>
      </c>
      <c r="C28" s="979" t="s">
        <v>1267</v>
      </c>
      <c r="D28" s="13" t="s">
        <v>1214</v>
      </c>
      <c r="E28" s="7"/>
      <c r="F28" s="8"/>
      <c r="G28" s="9"/>
      <c r="H28" s="985"/>
      <c r="I28" s="13" t="s">
        <v>1214</v>
      </c>
      <c r="J28" s="7"/>
      <c r="K28" s="8"/>
      <c r="L28" s="9"/>
      <c r="M28" s="985"/>
    </row>
    <row r="29" ht="14.25" customHeight="1">
      <c r="A29" s="987"/>
      <c r="B29" s="978" t="s">
        <v>1268</v>
      </c>
      <c r="C29" s="979" t="s">
        <v>1268</v>
      </c>
      <c r="D29" s="13" t="s">
        <v>1214</v>
      </c>
      <c r="E29" s="7"/>
      <c r="F29" s="8"/>
      <c r="G29" s="9"/>
      <c r="H29" s="985"/>
      <c r="I29" s="13" t="s">
        <v>1214</v>
      </c>
      <c r="J29" s="7"/>
      <c r="K29" s="8"/>
      <c r="L29" s="9"/>
      <c r="M29" s="985"/>
    </row>
    <row r="30" ht="14.25" customHeight="1">
      <c r="A30" s="987"/>
      <c r="B30" s="978" t="s">
        <v>1269</v>
      </c>
      <c r="C30" s="979" t="s">
        <v>1269</v>
      </c>
      <c r="D30" s="13" t="s">
        <v>1214</v>
      </c>
      <c r="E30" s="7"/>
      <c r="F30" s="8"/>
      <c r="G30" s="9"/>
      <c r="H30" s="985"/>
      <c r="I30" s="13" t="s">
        <v>1214</v>
      </c>
      <c r="J30" s="7"/>
      <c r="K30" s="8"/>
      <c r="L30" s="9"/>
      <c r="M30" s="985"/>
    </row>
    <row r="31" ht="14.25" customHeight="1">
      <c r="A31" s="987"/>
      <c r="B31" s="978" t="s">
        <v>1270</v>
      </c>
      <c r="C31" s="979" t="s">
        <v>1270</v>
      </c>
      <c r="D31" s="13" t="s">
        <v>1214</v>
      </c>
      <c r="E31" s="7"/>
      <c r="F31" s="8"/>
      <c r="G31" s="9"/>
      <c r="H31" s="985"/>
      <c r="I31" s="13" t="s">
        <v>1214</v>
      </c>
      <c r="J31" s="7"/>
      <c r="K31" s="8"/>
      <c r="L31" s="9"/>
      <c r="M31" s="985"/>
    </row>
    <row r="32" ht="14.25" customHeight="1">
      <c r="A32" s="987"/>
      <c r="B32" s="978" t="s">
        <v>1271</v>
      </c>
      <c r="C32" s="979" t="s">
        <v>1271</v>
      </c>
      <c r="D32" s="13" t="s">
        <v>1214</v>
      </c>
      <c r="E32" s="7"/>
      <c r="F32" s="8"/>
      <c r="G32" s="9"/>
      <c r="H32" s="985"/>
      <c r="I32" s="13" t="s">
        <v>1214</v>
      </c>
      <c r="J32" s="7"/>
      <c r="K32" s="8"/>
      <c r="L32" s="9"/>
      <c r="M32" s="985"/>
    </row>
    <row r="33" ht="14.25" customHeight="1">
      <c r="A33" s="987"/>
      <c r="B33" s="978" t="s">
        <v>1272</v>
      </c>
      <c r="C33" s="979" t="s">
        <v>1272</v>
      </c>
      <c r="D33" s="13" t="s">
        <v>1214</v>
      </c>
      <c r="E33" s="7"/>
      <c r="F33" s="8"/>
      <c r="G33" s="9"/>
      <c r="H33" s="985"/>
      <c r="I33" s="13" t="s">
        <v>1214</v>
      </c>
      <c r="J33" s="7"/>
      <c r="K33" s="8"/>
      <c r="L33" s="9"/>
      <c r="M33" s="985"/>
    </row>
    <row r="34" ht="14.25" customHeight="1">
      <c r="A34" s="987"/>
      <c r="B34" s="978" t="s">
        <v>1273</v>
      </c>
      <c r="C34" s="979" t="s">
        <v>1273</v>
      </c>
      <c r="D34" s="13" t="s">
        <v>1214</v>
      </c>
      <c r="E34" s="7"/>
      <c r="F34" s="8"/>
      <c r="G34" s="9"/>
      <c r="H34" s="985"/>
      <c r="I34" s="13" t="s">
        <v>1214</v>
      </c>
      <c r="J34" s="7"/>
      <c r="K34" s="8"/>
      <c r="L34" s="9"/>
      <c r="M34" s="985"/>
    </row>
    <row r="35" ht="14.25" customHeight="1">
      <c r="A35" s="987"/>
      <c r="B35" s="978" t="s">
        <v>1274</v>
      </c>
      <c r="C35" s="979" t="s">
        <v>1274</v>
      </c>
      <c r="D35" s="13" t="s">
        <v>1214</v>
      </c>
      <c r="E35" s="7"/>
      <c r="F35" s="8"/>
      <c r="G35" s="9"/>
      <c r="H35" s="985"/>
      <c r="I35" s="13" t="s">
        <v>1214</v>
      </c>
      <c r="J35" s="7"/>
      <c r="K35" s="8"/>
      <c r="L35" s="9"/>
      <c r="M35" s="985"/>
    </row>
    <row r="36" ht="14.25" customHeight="1">
      <c r="A36" s="987"/>
      <c r="B36" s="978" t="s">
        <v>1275</v>
      </c>
      <c r="C36" s="979" t="s">
        <v>1275</v>
      </c>
      <c r="D36" s="13" t="s">
        <v>1214</v>
      </c>
      <c r="E36" s="7"/>
      <c r="F36" s="8"/>
      <c r="G36" s="9"/>
      <c r="H36" s="985"/>
      <c r="I36" s="13" t="s">
        <v>1214</v>
      </c>
      <c r="J36" s="7"/>
      <c r="K36" s="8"/>
      <c r="L36" s="9"/>
      <c r="M36" s="985"/>
    </row>
    <row r="37" ht="14.25" customHeight="1">
      <c r="A37" s="987"/>
      <c r="B37" s="978" t="s">
        <v>1276</v>
      </c>
      <c r="C37" s="979" t="s">
        <v>1276</v>
      </c>
      <c r="D37" s="13" t="s">
        <v>1214</v>
      </c>
      <c r="E37" s="7"/>
      <c r="F37" s="8"/>
      <c r="G37" s="9"/>
      <c r="H37" s="985"/>
      <c r="I37" s="13" t="s">
        <v>1214</v>
      </c>
      <c r="J37" s="7"/>
      <c r="K37" s="8"/>
      <c r="L37" s="9"/>
      <c r="M37" s="985"/>
    </row>
    <row r="38" ht="14.25" customHeight="1">
      <c r="A38" s="987"/>
      <c r="B38" s="978" t="s">
        <v>1277</v>
      </c>
      <c r="C38" s="979" t="s">
        <v>1277</v>
      </c>
      <c r="D38" s="13" t="s">
        <v>1214</v>
      </c>
      <c r="E38" s="7"/>
      <c r="F38" s="8"/>
      <c r="G38" s="9"/>
      <c r="H38" s="985"/>
      <c r="I38" s="13" t="s">
        <v>1214</v>
      </c>
      <c r="J38" s="7"/>
      <c r="K38" s="8"/>
      <c r="L38" s="9"/>
      <c r="M38" s="985"/>
    </row>
    <row r="39" ht="14.25" customHeight="1">
      <c r="A39" s="987"/>
      <c r="B39" s="978" t="s">
        <v>1278</v>
      </c>
      <c r="C39" s="979" t="s">
        <v>1278</v>
      </c>
      <c r="D39" s="13" t="s">
        <v>1214</v>
      </c>
      <c r="E39" s="7"/>
      <c r="F39" s="8"/>
      <c r="G39" s="9"/>
      <c r="H39" s="985"/>
      <c r="I39" s="13" t="s">
        <v>1214</v>
      </c>
      <c r="J39" s="7"/>
      <c r="K39" s="8"/>
      <c r="L39" s="9"/>
      <c r="M39" s="985"/>
    </row>
    <row r="40" ht="14.25" customHeight="1">
      <c r="A40" s="987"/>
      <c r="B40" s="978" t="s">
        <v>1279</v>
      </c>
      <c r="C40" s="979" t="s">
        <v>1279</v>
      </c>
      <c r="D40" s="13" t="s">
        <v>1214</v>
      </c>
      <c r="E40" s="7"/>
      <c r="F40" s="8"/>
      <c r="G40" s="9"/>
      <c r="H40" s="985"/>
      <c r="I40" s="13" t="s">
        <v>1214</v>
      </c>
      <c r="J40" s="7"/>
      <c r="K40" s="8"/>
      <c r="L40" s="9"/>
      <c r="M40" s="985"/>
    </row>
    <row r="41" ht="14.25" customHeight="1">
      <c r="A41" s="987"/>
      <c r="B41" s="978" t="s">
        <v>1280</v>
      </c>
      <c r="C41" s="979" t="s">
        <v>1280</v>
      </c>
      <c r="D41" s="13" t="s">
        <v>1214</v>
      </c>
      <c r="E41" s="7"/>
      <c r="F41" s="8"/>
      <c r="G41" s="9"/>
      <c r="H41" s="985"/>
      <c r="I41" s="13" t="s">
        <v>1214</v>
      </c>
      <c r="J41" s="7"/>
      <c r="K41" s="8"/>
      <c r="L41" s="9"/>
      <c r="M41" s="985"/>
    </row>
    <row r="42" ht="14.25" customHeight="1">
      <c r="A42" s="987"/>
      <c r="B42" s="978" t="s">
        <v>1281</v>
      </c>
      <c r="C42" s="979" t="s">
        <v>1281</v>
      </c>
      <c r="D42" s="13" t="s">
        <v>1214</v>
      </c>
      <c r="E42" s="7"/>
      <c r="F42" s="8"/>
      <c r="G42" s="9"/>
      <c r="H42" s="985"/>
      <c r="I42" s="13" t="s">
        <v>1214</v>
      </c>
      <c r="J42" s="7"/>
      <c r="K42" s="8"/>
      <c r="L42" s="9"/>
      <c r="M42" s="985"/>
    </row>
    <row r="43" ht="14.25" customHeight="1">
      <c r="A43" s="987"/>
      <c r="B43" s="978" t="s">
        <v>1282</v>
      </c>
      <c r="C43" s="979" t="s">
        <v>1282</v>
      </c>
      <c r="D43" s="13" t="s">
        <v>1214</v>
      </c>
      <c r="E43" s="7"/>
      <c r="F43" s="8"/>
      <c r="G43" s="9"/>
      <c r="H43" s="985"/>
      <c r="I43" s="13" t="s">
        <v>1214</v>
      </c>
      <c r="J43" s="7"/>
      <c r="K43" s="8"/>
      <c r="L43" s="9"/>
      <c r="M43" s="985"/>
    </row>
    <row r="44" ht="14.25" customHeight="1">
      <c r="A44" s="987"/>
      <c r="B44" s="15" t="s">
        <v>1283</v>
      </c>
      <c r="C44" s="16" t="s">
        <v>1283</v>
      </c>
      <c r="D44" s="13" t="s">
        <v>1214</v>
      </c>
      <c r="E44" s="7"/>
      <c r="F44" s="8"/>
      <c r="G44" s="9"/>
      <c r="H44" s="985"/>
      <c r="I44" s="13" t="s">
        <v>1214</v>
      </c>
      <c r="J44" s="7"/>
      <c r="K44" s="8"/>
      <c r="L44" s="9"/>
      <c r="M44" s="985"/>
    </row>
    <row r="45" ht="14.25" customHeight="1">
      <c r="A45" s="987"/>
      <c r="B45" s="15" t="s">
        <v>1284</v>
      </c>
      <c r="C45" s="16" t="s">
        <v>1284</v>
      </c>
      <c r="D45" s="13" t="s">
        <v>1214</v>
      </c>
      <c r="E45" s="7"/>
      <c r="F45" s="8"/>
      <c r="G45" s="9"/>
      <c r="H45" s="985"/>
      <c r="I45" s="13" t="s">
        <v>1214</v>
      </c>
      <c r="J45" s="7"/>
      <c r="K45" s="8"/>
      <c r="L45" s="9"/>
      <c r="M45" s="985"/>
    </row>
    <row r="46" ht="14.25" customHeight="1">
      <c r="A46" s="987"/>
      <c r="B46" s="15" t="s">
        <v>1285</v>
      </c>
      <c r="C46" s="16" t="s">
        <v>1285</v>
      </c>
      <c r="D46" s="13" t="s">
        <v>1214</v>
      </c>
      <c r="E46" s="7"/>
      <c r="F46" s="8"/>
      <c r="G46" s="9"/>
      <c r="H46" s="985"/>
      <c r="I46" s="13" t="s">
        <v>1214</v>
      </c>
      <c r="J46" s="7"/>
      <c r="K46" s="8"/>
      <c r="L46" s="9"/>
      <c r="M46" s="985"/>
    </row>
    <row r="47" ht="14.25" customHeight="1">
      <c r="A47" s="987"/>
      <c r="B47" s="15" t="s">
        <v>1286</v>
      </c>
      <c r="C47" s="16" t="s">
        <v>1286</v>
      </c>
      <c r="D47" s="13" t="s">
        <v>1214</v>
      </c>
      <c r="E47" s="7"/>
      <c r="F47" s="8"/>
      <c r="G47" s="9"/>
      <c r="H47" s="985"/>
      <c r="I47" s="13" t="s">
        <v>1214</v>
      </c>
      <c r="J47" s="7"/>
      <c r="K47" s="8"/>
      <c r="L47" s="9"/>
      <c r="M47" s="985"/>
    </row>
    <row r="48" ht="14.25" customHeight="1">
      <c r="A48" s="987"/>
      <c r="B48" s="15" t="s">
        <v>1287</v>
      </c>
      <c r="C48" s="16" t="s">
        <v>1287</v>
      </c>
      <c r="D48" s="13" t="s">
        <v>1214</v>
      </c>
      <c r="E48" s="7"/>
      <c r="F48" s="8"/>
      <c r="G48" s="9"/>
      <c r="H48" s="985"/>
      <c r="I48" s="13" t="s">
        <v>1214</v>
      </c>
      <c r="J48" s="7"/>
      <c r="K48" s="8"/>
      <c r="L48" s="9"/>
      <c r="M48" s="985"/>
    </row>
    <row r="49" ht="14.25" customHeight="1">
      <c r="A49" s="987"/>
      <c r="B49" s="15" t="s">
        <v>1288</v>
      </c>
      <c r="C49" s="16" t="s">
        <v>1288</v>
      </c>
      <c r="D49" s="13" t="s">
        <v>1214</v>
      </c>
      <c r="E49" s="7"/>
      <c r="F49" s="8"/>
      <c r="G49" s="9"/>
      <c r="H49" s="985"/>
      <c r="I49" s="13" t="s">
        <v>1214</v>
      </c>
      <c r="J49" s="7"/>
      <c r="K49" s="8"/>
      <c r="L49" s="9"/>
      <c r="M49" s="985"/>
    </row>
    <row r="50" ht="14.25" customHeight="1">
      <c r="A50" s="987"/>
      <c r="B50" s="15" t="s">
        <v>1289</v>
      </c>
      <c r="C50" s="16" t="s">
        <v>1289</v>
      </c>
      <c r="D50" s="13" t="s">
        <v>1214</v>
      </c>
      <c r="E50" s="7"/>
      <c r="F50" s="8"/>
      <c r="G50" s="9"/>
      <c r="H50" s="985"/>
      <c r="I50" s="13" t="s">
        <v>1214</v>
      </c>
      <c r="J50" s="7"/>
      <c r="K50" s="8"/>
      <c r="L50" s="9"/>
      <c r="M50" s="985"/>
    </row>
    <row r="51" ht="14.25" customHeight="1">
      <c r="A51" s="987"/>
      <c r="B51" s="15" t="s">
        <v>1290</v>
      </c>
      <c r="C51" s="16" t="s">
        <v>1290</v>
      </c>
      <c r="D51" s="13" t="s">
        <v>1214</v>
      </c>
      <c r="E51" s="7"/>
      <c r="F51" s="8"/>
      <c r="G51" s="9"/>
      <c r="H51" s="985"/>
      <c r="I51" s="13" t="s">
        <v>1214</v>
      </c>
      <c r="J51" s="7"/>
      <c r="K51" s="8"/>
      <c r="L51" s="9"/>
      <c r="M51" s="985"/>
    </row>
    <row r="52" ht="14.25" customHeight="1">
      <c r="A52" s="987"/>
      <c r="B52" s="15" t="s">
        <v>1291</v>
      </c>
      <c r="C52" s="16" t="s">
        <v>1291</v>
      </c>
      <c r="D52" s="13" t="s">
        <v>1214</v>
      </c>
      <c r="E52" s="7"/>
      <c r="F52" s="8"/>
      <c r="G52" s="9"/>
      <c r="H52" s="985"/>
      <c r="I52" s="13" t="s">
        <v>1214</v>
      </c>
      <c r="J52" s="7"/>
      <c r="K52" s="8"/>
      <c r="L52" s="9"/>
      <c r="M52" s="985"/>
    </row>
    <row r="53" ht="14.25" customHeight="1">
      <c r="A53" s="987"/>
      <c r="B53" s="15" t="s">
        <v>1292</v>
      </c>
      <c r="C53" s="16" t="s">
        <v>1292</v>
      </c>
      <c r="D53" s="13" t="s">
        <v>1214</v>
      </c>
      <c r="E53" s="7"/>
      <c r="F53" s="8"/>
      <c r="G53" s="9"/>
      <c r="H53" s="985"/>
      <c r="I53" s="13" t="s">
        <v>1214</v>
      </c>
      <c r="J53" s="7"/>
      <c r="K53" s="8"/>
      <c r="L53" s="9"/>
      <c r="M53" s="985"/>
    </row>
    <row r="54" ht="14.25" customHeight="1">
      <c r="A54" s="987"/>
      <c r="B54" s="15" t="s">
        <v>1293</v>
      </c>
      <c r="C54" s="16" t="s">
        <v>1293</v>
      </c>
      <c r="D54" s="13" t="s">
        <v>1214</v>
      </c>
      <c r="E54" s="7"/>
      <c r="F54" s="8"/>
      <c r="G54" s="9"/>
      <c r="H54" s="985"/>
      <c r="I54" s="13" t="s">
        <v>1214</v>
      </c>
      <c r="J54" s="7"/>
      <c r="K54" s="8"/>
      <c r="L54" s="9"/>
      <c r="M54" s="985"/>
    </row>
    <row r="55" ht="14.25" customHeight="1">
      <c r="A55" s="987"/>
      <c r="B55" s="15" t="s">
        <v>1294</v>
      </c>
      <c r="C55" s="16" t="s">
        <v>1294</v>
      </c>
      <c r="D55" s="13" t="s">
        <v>1214</v>
      </c>
      <c r="E55" s="7"/>
      <c r="F55" s="8"/>
      <c r="G55" s="9"/>
      <c r="H55" s="985"/>
      <c r="I55" s="13" t="s">
        <v>1214</v>
      </c>
      <c r="J55" s="7"/>
      <c r="K55" s="8"/>
      <c r="L55" s="9"/>
      <c r="M55" s="985"/>
    </row>
    <row r="56" ht="14.25" customHeight="1">
      <c r="A56" s="987"/>
      <c r="B56" s="15" t="s">
        <v>1295</v>
      </c>
      <c r="C56" s="16" t="s">
        <v>1295</v>
      </c>
      <c r="D56" s="13" t="s">
        <v>1214</v>
      </c>
      <c r="E56" s="7"/>
      <c r="F56" s="8"/>
      <c r="G56" s="9"/>
      <c r="H56" s="985"/>
      <c r="I56" s="13" t="s">
        <v>1214</v>
      </c>
      <c r="J56" s="7"/>
      <c r="K56" s="8"/>
      <c r="L56" s="9"/>
      <c r="M56" s="985"/>
    </row>
    <row r="57" ht="14.25" customHeight="1">
      <c r="A57" s="1010"/>
      <c r="B57" s="15" t="s">
        <v>1296</v>
      </c>
      <c r="C57" s="16" t="s">
        <v>1296</v>
      </c>
      <c r="D57" s="18" t="s">
        <v>1214</v>
      </c>
      <c r="E57" s="19"/>
      <c r="F57" s="20"/>
      <c r="G57" s="9"/>
      <c r="H57" s="985"/>
      <c r="I57" s="18" t="s">
        <v>1214</v>
      </c>
      <c r="J57" s="19"/>
      <c r="K57" s="20"/>
      <c r="L57" s="9"/>
      <c r="M57" s="985"/>
    </row>
    <row r="58" ht="14.25" customHeight="1">
      <c r="A58" s="987" t="s">
        <v>1297</v>
      </c>
      <c r="B58" s="987"/>
      <c r="C58" s="987"/>
      <c r="D58" s="987"/>
      <c r="E58" s="987"/>
      <c r="F58" s="987"/>
      <c r="G58" s="9" t="n">
        <v>9368</v>
      </c>
      <c r="H58" s="985"/>
      <c r="I58" s="12"/>
      <c r="J58" s="12"/>
      <c r="K58" s="12"/>
      <c r="L58" s="9" t="n">
        <v>6854</v>
      </c>
      <c r="M58" s="985"/>
    </row>
    <row r="59" ht="22.5" customHeight="1">
      <c r="A59" s="1011" t="s">
        <v>1298</v>
      </c>
      <c r="B59" s="1004" t="s">
        <v>1299</v>
      </c>
      <c r="C59" s="1005"/>
      <c r="D59" s="21" t="s">
        <v>1214</v>
      </c>
      <c r="E59" s="22" t="n">
        <v>50</v>
      </c>
      <c r="F59" s="23" t="n">
        <v>1</v>
      </c>
      <c r="G59" s="24" t="n">
        <f>E59*F59</f>
        <v>50</v>
      </c>
      <c r="H59" s="985"/>
      <c r="I59" s="21" t="s">
        <v>1214</v>
      </c>
      <c r="J59" s="22" t="n">
        <v>50</v>
      </c>
      <c r="K59" s="23" t="n">
        <v>1</v>
      </c>
      <c r="L59" s="24" t="n">
        <f>J59*K59</f>
        <v>50</v>
      </c>
      <c r="M59" s="985"/>
    </row>
    <row r="60" ht="14.25" customHeight="1">
      <c r="A60" s="12" t="s">
        <v>1300</v>
      </c>
      <c r="B60" s="999" t="s">
        <v>1300</v>
      </c>
      <c r="C60" s="999"/>
      <c r="D60" s="13"/>
      <c r="E60" s="7" t="n">
        <v>397.86</v>
      </c>
      <c r="F60" s="8" t="n">
        <v>1</v>
      </c>
      <c r="G60" s="9" t="n">
        <f>E60*F60</f>
        <v>397.86</v>
      </c>
      <c r="H60" s="985"/>
      <c r="I60" s="13"/>
      <c r="J60" s="7" t="n">
        <v>397.86</v>
      </c>
      <c r="K60" s="8" t="n">
        <v>1</v>
      </c>
      <c r="L60" s="9" t="n">
        <f>J60*K60</f>
        <v>397.86</v>
      </c>
      <c r="M60" s="985"/>
    </row>
    <row r="61" ht="14.25" customHeight="1">
      <c r="A61" s="25"/>
      <c r="B61" s="983" t="s">
        <v>1251</v>
      </c>
      <c r="C61" s="983"/>
      <c r="D61" s="10"/>
      <c r="E61" s="981" t="n">
        <f>SUM(G15:G60)</f>
        <v>9815.86</v>
      </c>
      <c r="F61" s="981"/>
      <c r="G61" s="982"/>
      <c r="H61" s="986"/>
      <c r="I61" s="10"/>
      <c r="J61" s="981" t="n">
        <f>SUM(L15:L60)</f>
        <v>7301.86</v>
      </c>
      <c r="K61" s="981"/>
      <c r="L61" s="982"/>
      <c r="M61" s="986"/>
    </row>
    <row r="62" ht="14.25" customHeight="1">
      <c r="A62" s="26" t="s">
        <v>5</v>
      </c>
      <c r="B62" s="27" t="s">
        <v>5</v>
      </c>
      <c r="C62" s="27" t="s">
        <v>5</v>
      </c>
      <c r="D62" s="27" t="s">
        <v>5</v>
      </c>
      <c r="E62" s="27" t="s">
        <v>5</v>
      </c>
      <c r="F62" s="27" t="s">
        <v>5</v>
      </c>
      <c r="G62" s="28" t="s">
        <v>5</v>
      </c>
      <c r="H62" s="783" t="s">
        <v>5</v>
      </c>
      <c r="I62" s="27" t="s">
        <v>5</v>
      </c>
      <c r="J62" s="27" t="s">
        <v>5</v>
      </c>
      <c r="K62" s="27" t="s">
        <v>5</v>
      </c>
      <c r="L62" s="28" t="s">
        <v>5</v>
      </c>
      <c r="M62" s="783" t="s">
        <v>5</v>
      </c>
    </row>
    <row r="63" ht="14.25" customHeight="1">
      <c r="A63" s="1010" t="s">
        <v>1301</v>
      </c>
      <c r="B63" s="980" t="s">
        <v>1302</v>
      </c>
      <c r="C63" s="979"/>
      <c r="D63" s="13" t="s">
        <v>1214</v>
      </c>
      <c r="E63" s="7" t="n">
        <v>197.29</v>
      </c>
      <c r="F63" s="8" t="n">
        <v>1</v>
      </c>
      <c r="G63" s="9" t="n">
        <f>E63*F63</f>
        <v>197.29</v>
      </c>
      <c r="H63" s="984" t="s">
        <v>1247</v>
      </c>
      <c r="I63" s="13" t="s">
        <v>1214</v>
      </c>
      <c r="J63" s="7" t="n">
        <v>197.29</v>
      </c>
      <c r="K63" s="8" t="n">
        <v>1</v>
      </c>
      <c r="L63" s="9" t="n">
        <f>J63*K63</f>
        <v>197.29</v>
      </c>
      <c r="M63" s="984" t="s">
        <v>1247</v>
      </c>
    </row>
    <row r="64" ht="14.25" customHeight="1">
      <c r="A64" s="1011"/>
      <c r="B64" s="980" t="s">
        <v>1303</v>
      </c>
      <c r="C64" s="979" t="s">
        <v>1303</v>
      </c>
      <c r="D64" s="13" t="s">
        <v>1214</v>
      </c>
      <c r="E64" s="7" t="n">
        <v>11.71</v>
      </c>
      <c r="F64" s="8" t="n">
        <v>1</v>
      </c>
      <c r="G64" s="9" t="n">
        <f>E64*F64</f>
        <v>11.71</v>
      </c>
      <c r="H64" s="985"/>
      <c r="I64" s="13" t="s">
        <v>1214</v>
      </c>
      <c r="J64" s="7" t="n">
        <v>11.71</v>
      </c>
      <c r="K64" s="8" t="n">
        <v>1</v>
      </c>
      <c r="L64" s="9" t="n">
        <f>J64*K64</f>
        <v>11.71</v>
      </c>
      <c r="M64" s="985"/>
    </row>
    <row r="65" ht="14.25" customHeight="1">
      <c r="A65" s="1011"/>
      <c r="B65" s="980" t="s">
        <v>1304</v>
      </c>
      <c r="C65" s="979" t="s">
        <v>1304</v>
      </c>
      <c r="D65" s="13" t="s">
        <v>1214</v>
      </c>
      <c r="E65" s="7" t="n">
        <v>11.71</v>
      </c>
      <c r="F65" s="8" t="n">
        <v>1</v>
      </c>
      <c r="G65" s="9" t="n">
        <f>E65*F65</f>
        <v>11.71</v>
      </c>
      <c r="H65" s="985"/>
      <c r="I65" s="13" t="s">
        <v>1214</v>
      </c>
      <c r="J65" s="7" t="n">
        <v>11.71</v>
      </c>
      <c r="K65" s="8" t="n">
        <v>1</v>
      </c>
      <c r="L65" s="9" t="n">
        <f>J65*K65</f>
        <v>11.71</v>
      </c>
      <c r="M65" s="985"/>
    </row>
    <row r="66" ht="14.25" customHeight="1">
      <c r="A66" s="1011"/>
      <c r="B66" s="980" t="s">
        <v>1305</v>
      </c>
      <c r="C66" s="979" t="s">
        <v>1305</v>
      </c>
      <c r="D66" s="13" t="s">
        <v>1214</v>
      </c>
      <c r="E66" s="7" t="n">
        <v>14.96</v>
      </c>
      <c r="F66" s="8" t="n">
        <v>1</v>
      </c>
      <c r="G66" s="9" t="n">
        <f>E66*F66</f>
        <v>14.96</v>
      </c>
      <c r="H66" s="985"/>
      <c r="I66" s="13" t="s">
        <v>1214</v>
      </c>
      <c r="J66" s="7" t="n">
        <v>14.96</v>
      </c>
      <c r="K66" s="8" t="n">
        <v>1</v>
      </c>
      <c r="L66" s="9" t="n">
        <f>J66*K66</f>
        <v>14.96</v>
      </c>
      <c r="M66" s="985"/>
    </row>
    <row r="67" ht="14.25" customHeight="1">
      <c r="A67" s="1011"/>
      <c r="B67" s="980" t="s">
        <v>1306</v>
      </c>
      <c r="C67" s="979" t="s">
        <v>1306</v>
      </c>
      <c r="D67" s="13" t="s">
        <v>1214</v>
      </c>
      <c r="E67" s="7" t="n">
        <v>14.08</v>
      </c>
      <c r="F67" s="8" t="n">
        <v>1</v>
      </c>
      <c r="G67" s="9" t="n">
        <f>E67*F67</f>
        <v>14.08</v>
      </c>
      <c r="H67" s="985"/>
      <c r="I67" s="13" t="s">
        <v>1214</v>
      </c>
      <c r="J67" s="7" t="n">
        <v>14.08</v>
      </c>
      <c r="K67" s="8" t="n">
        <v>1</v>
      </c>
      <c r="L67" s="9" t="n">
        <f>J67*K67</f>
        <v>14.08</v>
      </c>
      <c r="M67" s="985"/>
    </row>
    <row r="68" ht="14.25" customHeight="1">
      <c r="A68" s="1011"/>
      <c r="B68" s="980" t="s">
        <v>1307</v>
      </c>
      <c r="C68" s="979" t="s">
        <v>1307</v>
      </c>
      <c r="D68" s="13" t="s">
        <v>1214</v>
      </c>
      <c r="E68" s="7" t="n">
        <v>12.19</v>
      </c>
      <c r="F68" s="8" t="n">
        <v>1</v>
      </c>
      <c r="G68" s="9" t="n">
        <f>E68*F68</f>
        <v>12.19</v>
      </c>
      <c r="H68" s="985"/>
      <c r="I68" s="13" t="s">
        <v>1214</v>
      </c>
      <c r="J68" s="7" t="n">
        <v>12.19</v>
      </c>
      <c r="K68" s="8" t="n">
        <v>1</v>
      </c>
      <c r="L68" s="9" t="n">
        <f>J68*K68</f>
        <v>12.19</v>
      </c>
      <c r="M68" s="985"/>
    </row>
    <row r="69" ht="14.25" customHeight="1">
      <c r="A69" s="1011"/>
      <c r="B69" s="980" t="s">
        <v>1308</v>
      </c>
      <c r="C69" s="979" t="s">
        <v>1308</v>
      </c>
      <c r="D69" s="13" t="s">
        <v>1214</v>
      </c>
      <c r="E69" s="7" t="n">
        <v>9.64</v>
      </c>
      <c r="F69" s="8" t="n">
        <v>1</v>
      </c>
      <c r="G69" s="9" t="n">
        <f>E69*F69</f>
        <v>9.64</v>
      </c>
      <c r="H69" s="985"/>
      <c r="I69" s="13" t="s">
        <v>1214</v>
      </c>
      <c r="J69" s="7" t="n">
        <v>9.64</v>
      </c>
      <c r="K69" s="8" t="n">
        <v>1</v>
      </c>
      <c r="L69" s="9" t="n">
        <f>J69*K69</f>
        <v>9.64</v>
      </c>
      <c r="M69" s="985"/>
    </row>
    <row r="70" ht="14.25" customHeight="1">
      <c r="A70" s="1011"/>
      <c r="B70" s="980" t="s">
        <v>1309</v>
      </c>
      <c r="C70" s="979" t="s">
        <v>1309</v>
      </c>
      <c r="D70" s="13" t="s">
        <v>1214</v>
      </c>
      <c r="E70" s="7" t="n">
        <v>9.64</v>
      </c>
      <c r="F70" s="8" t="n">
        <v>1</v>
      </c>
      <c r="G70" s="9" t="n">
        <f>E70*F70</f>
        <v>9.64</v>
      </c>
      <c r="H70" s="985"/>
      <c r="I70" s="13" t="s">
        <v>1214</v>
      </c>
      <c r="J70" s="7" t="n">
        <v>9.64</v>
      </c>
      <c r="K70" s="8" t="n">
        <v>1</v>
      </c>
      <c r="L70" s="9" t="n">
        <f>J70*K70</f>
        <v>9.64</v>
      </c>
      <c r="M70" s="985"/>
    </row>
    <row r="71" ht="14.25" customHeight="1">
      <c r="A71" s="1011"/>
      <c r="B71" s="980" t="s">
        <v>1310</v>
      </c>
      <c r="C71" s="979" t="s">
        <v>1310</v>
      </c>
      <c r="D71" s="13" t="s">
        <v>1214</v>
      </c>
      <c r="E71" s="7" t="n">
        <v>12.89</v>
      </c>
      <c r="F71" s="8" t="n">
        <v>1</v>
      </c>
      <c r="G71" s="9" t="n">
        <f>E71*F71</f>
        <v>12.89</v>
      </c>
      <c r="H71" s="985"/>
      <c r="I71" s="13" t="s">
        <v>1214</v>
      </c>
      <c r="J71" s="7" t="n">
        <v>12.89</v>
      </c>
      <c r="K71" s="8" t="n">
        <v>1</v>
      </c>
      <c r="L71" s="9" t="n">
        <f>J71*K71</f>
        <v>12.89</v>
      </c>
      <c r="M71" s="985"/>
    </row>
    <row r="72" ht="14.25" customHeight="1">
      <c r="A72" s="1011"/>
      <c r="B72" s="980" t="s">
        <v>1311</v>
      </c>
      <c r="C72" s="979" t="s">
        <v>1311</v>
      </c>
      <c r="D72" s="13" t="s">
        <v>1214</v>
      </c>
      <c r="E72" s="7" t="n">
        <v>12.01</v>
      </c>
      <c r="F72" s="8" t="n">
        <v>1</v>
      </c>
      <c r="G72" s="9" t="n">
        <f>E72*F72</f>
        <v>12.01</v>
      </c>
      <c r="H72" s="985"/>
      <c r="I72" s="13" t="s">
        <v>1214</v>
      </c>
      <c r="J72" s="7" t="n">
        <v>12.01</v>
      </c>
      <c r="K72" s="8" t="n">
        <v>1</v>
      </c>
      <c r="L72" s="9" t="n">
        <f>J72*K72</f>
        <v>12.01</v>
      </c>
      <c r="M72" s="985"/>
    </row>
    <row r="73" ht="14.25" customHeight="1">
      <c r="A73" s="1011"/>
      <c r="B73" s="980" t="s">
        <v>1312</v>
      </c>
      <c r="C73" s="979" t="s">
        <v>1312</v>
      </c>
      <c r="D73" s="13" t="s">
        <v>1214</v>
      </c>
      <c r="E73" s="7" t="n">
        <v>10.18</v>
      </c>
      <c r="F73" s="8" t="n">
        <v>1</v>
      </c>
      <c r="G73" s="9" t="n">
        <f>E73*F73</f>
        <v>10.18</v>
      </c>
      <c r="H73" s="985"/>
      <c r="I73" s="13" t="s">
        <v>1214</v>
      </c>
      <c r="J73" s="7" t="n">
        <v>10.18</v>
      </c>
      <c r="K73" s="8" t="n">
        <v>1</v>
      </c>
      <c r="L73" s="9" t="n">
        <f>J73*K73</f>
        <v>10.18</v>
      </c>
      <c r="M73" s="985"/>
    </row>
    <row r="74" ht="14.25" customHeight="1">
      <c r="A74" s="1011"/>
      <c r="B74" s="980" t="s">
        <v>1313</v>
      </c>
      <c r="C74" s="979" t="s">
        <v>1313</v>
      </c>
      <c r="D74" s="13" t="s">
        <v>1214</v>
      </c>
      <c r="E74" s="7" t="n">
        <v>172.04</v>
      </c>
      <c r="F74" s="8" t="n">
        <v>1</v>
      </c>
      <c r="G74" s="9" t="n">
        <f>E74*F74</f>
        <v>172.04</v>
      </c>
      <c r="H74" s="985"/>
      <c r="I74" s="13" t="s">
        <v>1214</v>
      </c>
      <c r="J74" s="7" t="n">
        <v>172.04</v>
      </c>
      <c r="K74" s="8" t="n">
        <v>1</v>
      </c>
      <c r="L74" s="9" t="n">
        <f>J74*K74</f>
        <v>172.04</v>
      </c>
      <c r="M74" s="985"/>
    </row>
    <row r="75" ht="14.25" customHeight="1">
      <c r="A75" s="1011"/>
      <c r="B75" s="980" t="s">
        <v>1314</v>
      </c>
      <c r="C75" s="979" t="s">
        <v>1314</v>
      </c>
      <c r="D75" s="13" t="s">
        <v>1214</v>
      </c>
      <c r="E75" s="7" t="n">
        <v>7.39</v>
      </c>
      <c r="F75" s="8" t="n">
        <v>1</v>
      </c>
      <c r="G75" s="9" t="n">
        <f>E75*F75</f>
        <v>7.39</v>
      </c>
      <c r="H75" s="985"/>
      <c r="I75" s="13" t="s">
        <v>1214</v>
      </c>
      <c r="J75" s="7" t="n">
        <v>7.39</v>
      </c>
      <c r="K75" s="8" t="n">
        <v>1</v>
      </c>
      <c r="L75" s="9" t="n">
        <f>J75*K75</f>
        <v>7.39</v>
      </c>
      <c r="M75" s="985"/>
    </row>
    <row r="76" ht="14.25" customHeight="1">
      <c r="A76" s="1011"/>
      <c r="B76" s="980" t="s">
        <v>1315</v>
      </c>
      <c r="C76" s="979" t="s">
        <v>1315</v>
      </c>
      <c r="D76" s="13" t="s">
        <v>1214</v>
      </c>
      <c r="E76" s="7" t="n">
        <v>7.39</v>
      </c>
      <c r="F76" s="8" t="n">
        <v>1</v>
      </c>
      <c r="G76" s="9" t="n">
        <f>E76*F76</f>
        <v>7.39</v>
      </c>
      <c r="H76" s="985"/>
      <c r="I76" s="13" t="s">
        <v>1214</v>
      </c>
      <c r="J76" s="7" t="n">
        <v>7.39</v>
      </c>
      <c r="K76" s="8" t="n">
        <v>1</v>
      </c>
      <c r="L76" s="9" t="n">
        <f>J76*K76</f>
        <v>7.39</v>
      </c>
      <c r="M76" s="985"/>
    </row>
    <row r="77" ht="14.25" customHeight="1">
      <c r="A77" s="1011"/>
      <c r="B77" s="980" t="s">
        <v>1316</v>
      </c>
      <c r="C77" s="979" t="s">
        <v>1316</v>
      </c>
      <c r="D77" s="13" t="s">
        <v>1214</v>
      </c>
      <c r="E77" s="7" t="n">
        <v>10.09</v>
      </c>
      <c r="F77" s="8" t="n">
        <v>1</v>
      </c>
      <c r="G77" s="9" t="n">
        <f>E77*F77</f>
        <v>10.09</v>
      </c>
      <c r="H77" s="985"/>
      <c r="I77" s="13" t="s">
        <v>1214</v>
      </c>
      <c r="J77" s="7" t="n">
        <v>10.09</v>
      </c>
      <c r="K77" s="8" t="n">
        <v>1</v>
      </c>
      <c r="L77" s="9" t="n">
        <f>J77*K77</f>
        <v>10.09</v>
      </c>
      <c r="M77" s="985"/>
    </row>
    <row r="78" ht="14.25" customHeight="1">
      <c r="A78" s="1011"/>
      <c r="B78" s="980" t="s">
        <v>1317</v>
      </c>
      <c r="C78" s="979" t="s">
        <v>1317</v>
      </c>
      <c r="D78" s="13" t="s">
        <v>1214</v>
      </c>
      <c r="E78" s="7" t="n">
        <v>64.1</v>
      </c>
      <c r="F78" s="8" t="n">
        <v>1</v>
      </c>
      <c r="G78" s="9" t="n">
        <f>E78*F78</f>
        <v>64.1</v>
      </c>
      <c r="H78" s="985"/>
      <c r="I78" s="13" t="s">
        <v>1214</v>
      </c>
      <c r="J78" s="7" t="n">
        <v>64.1</v>
      </c>
      <c r="K78" s="8" t="n">
        <v>1</v>
      </c>
      <c r="L78" s="9" t="n">
        <f>J78*K78</f>
        <v>64.1</v>
      </c>
      <c r="M78" s="985"/>
    </row>
    <row r="79" ht="14.25" customHeight="1">
      <c r="A79" s="1011"/>
      <c r="B79" s="980" t="s">
        <v>1318</v>
      </c>
      <c r="C79" s="979" t="s">
        <v>1318</v>
      </c>
      <c r="D79" s="13" t="s">
        <v>1214</v>
      </c>
      <c r="E79" s="7" t="n">
        <v>16.58</v>
      </c>
      <c r="F79" s="8" t="n">
        <v>1</v>
      </c>
      <c r="G79" s="9" t="n">
        <f>E79*F79</f>
        <v>16.58</v>
      </c>
      <c r="H79" s="985"/>
      <c r="I79" s="13" t="s">
        <v>1214</v>
      </c>
      <c r="J79" s="7" t="n">
        <v>16.58</v>
      </c>
      <c r="K79" s="8" t="n">
        <v>1</v>
      </c>
      <c r="L79" s="9" t="n">
        <f>J79*K79</f>
        <v>16.58</v>
      </c>
      <c r="M79" s="985"/>
    </row>
    <row r="80" ht="14.25" customHeight="1">
      <c r="A80" s="1011"/>
      <c r="B80" s="980" t="s">
        <v>1319</v>
      </c>
      <c r="C80" s="979" t="s">
        <v>1319</v>
      </c>
      <c r="D80" s="13" t="s">
        <v>1214</v>
      </c>
      <c r="E80" s="7" t="n">
        <v>39.04</v>
      </c>
      <c r="F80" s="8" t="n">
        <v>1</v>
      </c>
      <c r="G80" s="9" t="n">
        <f>E80*F80</f>
        <v>39.04</v>
      </c>
      <c r="H80" s="985"/>
      <c r="I80" s="13" t="s">
        <v>1214</v>
      </c>
      <c r="J80" s="7" t="n">
        <v>39.04</v>
      </c>
      <c r="K80" s="8" t="n">
        <v>1</v>
      </c>
      <c r="L80" s="9" t="n">
        <f>J80*K80</f>
        <v>39.04</v>
      </c>
      <c r="M80" s="985"/>
    </row>
    <row r="81" ht="14.25" customHeight="1">
      <c r="A81" s="1011"/>
      <c r="B81" s="980" t="s">
        <v>1320</v>
      </c>
      <c r="C81" s="979" t="s">
        <v>1320</v>
      </c>
      <c r="D81" s="13" t="s">
        <v>1214</v>
      </c>
      <c r="E81" s="7" t="n">
        <v>193.6</v>
      </c>
      <c r="F81" s="8" t="n">
        <v>1</v>
      </c>
      <c r="G81" s="9" t="n">
        <f>E81*F81</f>
        <v>193.6</v>
      </c>
      <c r="H81" s="985"/>
      <c r="I81" s="13" t="s">
        <v>1214</v>
      </c>
      <c r="J81" s="7" t="n">
        <v>193.6</v>
      </c>
      <c r="K81" s="8" t="n">
        <v>1</v>
      </c>
      <c r="L81" s="9" t="n">
        <f>J81*K81</f>
        <v>193.6</v>
      </c>
      <c r="M81" s="985"/>
    </row>
    <row r="82" ht="14.25" customHeight="1">
      <c r="A82" s="1011"/>
      <c r="B82" s="980" t="s">
        <v>1321</v>
      </c>
      <c r="C82" s="979" t="s">
        <v>1321</v>
      </c>
      <c r="D82" s="13" t="s">
        <v>1214</v>
      </c>
      <c r="E82" s="7" t="n">
        <v>205</v>
      </c>
      <c r="F82" s="8" t="n">
        <v>1</v>
      </c>
      <c r="G82" s="9" t="n">
        <f>E82*F82</f>
        <v>205</v>
      </c>
      <c r="H82" s="985"/>
      <c r="I82" s="13" t="s">
        <v>1214</v>
      </c>
      <c r="J82" s="7" t="n">
        <v>205</v>
      </c>
      <c r="K82" s="8" t="n">
        <v>1</v>
      </c>
      <c r="L82" s="9" t="n">
        <f>J82*K82</f>
        <v>205</v>
      </c>
      <c r="M82" s="985"/>
    </row>
    <row r="83" ht="14.25" customHeight="1">
      <c r="A83" s="1011"/>
      <c r="B83" s="980" t="s">
        <v>1322</v>
      </c>
      <c r="C83" s="979" t="s">
        <v>1322</v>
      </c>
      <c r="D83" s="13" t="s">
        <v>1214</v>
      </c>
      <c r="E83" s="7" t="n">
        <v>234.44</v>
      </c>
      <c r="F83" s="8" t="n">
        <v>1</v>
      </c>
      <c r="G83" s="9" t="n">
        <f>E83*F83</f>
        <v>234.44</v>
      </c>
      <c r="H83" s="985"/>
      <c r="I83" s="13" t="s">
        <v>1214</v>
      </c>
      <c r="J83" s="7" t="n">
        <v>234.44</v>
      </c>
      <c r="K83" s="8" t="n">
        <v>1</v>
      </c>
      <c r="L83" s="9" t="n">
        <f>J83*K83</f>
        <v>234.44</v>
      </c>
      <c r="M83" s="985"/>
    </row>
    <row r="84" ht="14.25" customHeight="1">
      <c r="A84" s="1011"/>
      <c r="B84" s="980" t="s">
        <v>1323</v>
      </c>
      <c r="C84" s="979" t="s">
        <v>1323</v>
      </c>
      <c r="D84" s="18" t="s">
        <v>1214</v>
      </c>
      <c r="E84" s="19" t="n">
        <v>462.87</v>
      </c>
      <c r="F84" s="20" t="n">
        <v>1</v>
      </c>
      <c r="G84" s="24" t="n">
        <f>E84*F84</f>
        <v>462.87</v>
      </c>
      <c r="H84" s="985"/>
      <c r="I84" s="18" t="s">
        <v>1214</v>
      </c>
      <c r="J84" s="19" t="n">
        <v>462.87</v>
      </c>
      <c r="K84" s="20" t="n">
        <v>1</v>
      </c>
      <c r="L84" s="24" t="n">
        <f>J84*K84</f>
        <v>462.87</v>
      </c>
      <c r="M84" s="985"/>
    </row>
    <row r="85" ht="14.25" customHeight="1">
      <c r="A85" s="8"/>
      <c r="B85" s="983" t="s">
        <v>1251</v>
      </c>
      <c r="C85" s="983"/>
      <c r="D85" s="10"/>
      <c r="E85" s="981" t="n">
        <f>SUM(G63:G84)</f>
        <v>1728.84</v>
      </c>
      <c r="F85" s="981"/>
      <c r="G85" s="982"/>
      <c r="H85" s="986"/>
      <c r="I85" s="10"/>
      <c r="J85" s="981" t="n">
        <f>SUM(L63:L84)</f>
        <v>1728.84</v>
      </c>
      <c r="K85" s="981"/>
      <c r="L85" s="982"/>
      <c r="M85" s="986"/>
    </row>
    <row r="86" ht="14.25" customHeight="1">
      <c r="A86" s="26" t="s">
        <v>5</v>
      </c>
      <c r="B86" s="27" t="s">
        <v>5</v>
      </c>
      <c r="C86" s="27" t="s">
        <v>5</v>
      </c>
      <c r="D86" s="27" t="s">
        <v>5</v>
      </c>
      <c r="E86" s="27" t="s">
        <v>5</v>
      </c>
      <c r="F86" s="27" t="s">
        <v>5</v>
      </c>
      <c r="G86" s="28" t="s">
        <v>5</v>
      </c>
      <c r="H86" s="783" t="s">
        <v>5</v>
      </c>
      <c r="I86" s="27" t="s">
        <v>5</v>
      </c>
      <c r="J86" s="27" t="s">
        <v>5</v>
      </c>
      <c r="K86" s="27" t="s">
        <v>5</v>
      </c>
      <c r="L86" s="28" t="s">
        <v>5</v>
      </c>
      <c r="M86" s="783" t="s">
        <v>5</v>
      </c>
    </row>
    <row r="87" ht="14.25" customHeight="1">
      <c r="A87" s="1013" t="s">
        <v>1324</v>
      </c>
      <c r="B87" s="980" t="s">
        <v>1325</v>
      </c>
      <c r="C87" s="979"/>
      <c r="D87" s="29" t="s">
        <v>1214</v>
      </c>
      <c r="E87" s="7" t="n">
        <v>428.89</v>
      </c>
      <c r="F87" s="7" t="n">
        <v>1</v>
      </c>
      <c r="G87" s="9" t="n">
        <f>E87*F87</f>
        <v>428.89</v>
      </c>
      <c r="H87" s="30"/>
      <c r="I87" s="29" t="s">
        <v>1214</v>
      </c>
      <c r="J87" s="7" t="n">
        <v>428.89</v>
      </c>
      <c r="K87" s="7" t="n">
        <v>1</v>
      </c>
      <c r="L87" s="9" t="n">
        <f>J87*K87</f>
        <v>428.89</v>
      </c>
      <c r="M87" s="30"/>
    </row>
    <row r="88" ht="14.25" customHeight="1">
      <c r="A88" s="1013"/>
      <c r="B88" s="980" t="s">
        <v>1326</v>
      </c>
      <c r="C88" s="979" t="s">
        <v>1326</v>
      </c>
      <c r="D88" s="29" t="s">
        <v>1214</v>
      </c>
      <c r="E88" s="7" t="n">
        <v>148.16</v>
      </c>
      <c r="F88" s="7" t="n">
        <v>1</v>
      </c>
      <c r="G88" s="9" t="n">
        <f>E88*F88</f>
        <v>148.16</v>
      </c>
      <c r="H88" s="30"/>
      <c r="I88" s="29" t="s">
        <v>1214</v>
      </c>
      <c r="J88" s="7" t="n">
        <v>148.16</v>
      </c>
      <c r="K88" s="7" t="n">
        <v>1</v>
      </c>
      <c r="L88" s="9" t="n">
        <f>J88*K88</f>
        <v>148.16</v>
      </c>
      <c r="M88" s="30"/>
    </row>
    <row r="89" ht="14.25" customHeight="1">
      <c r="A89" s="1013"/>
      <c r="B89" s="980" t="s">
        <v>1327</v>
      </c>
      <c r="C89" s="979" t="s">
        <v>1327</v>
      </c>
      <c r="D89" s="29" t="s">
        <v>1214</v>
      </c>
      <c r="E89" s="7" t="n">
        <v>76.76</v>
      </c>
      <c r="F89" s="7" t="n">
        <v>1</v>
      </c>
      <c r="G89" s="9" t="n">
        <f>E89*F89</f>
        <v>76.76</v>
      </c>
      <c r="H89" s="30"/>
      <c r="I89" s="29" t="s">
        <v>1214</v>
      </c>
      <c r="J89" s="7" t="n">
        <v>76.76</v>
      </c>
      <c r="K89" s="7" t="n">
        <v>1</v>
      </c>
      <c r="L89" s="9" t="n">
        <f>J89*K89</f>
        <v>76.76</v>
      </c>
      <c r="M89" s="30"/>
    </row>
    <row r="90" ht="14.25" customHeight="1">
      <c r="A90" s="8"/>
      <c r="B90" s="983" t="s">
        <v>1251</v>
      </c>
      <c r="C90" s="983"/>
      <c r="D90" s="10"/>
      <c r="E90" s="981" t="n">
        <f>SUM(G87:G89)</f>
        <v>653.81</v>
      </c>
      <c r="F90" s="981"/>
      <c r="G90" s="982"/>
      <c r="H90" s="30"/>
      <c r="I90" s="10"/>
      <c r="J90" s="981" t="n">
        <f>SUM(L87:L89)</f>
        <v>653.81</v>
      </c>
      <c r="K90" s="981"/>
      <c r="L90" s="982"/>
      <c r="M90" s="30"/>
    </row>
    <row r="91" ht="14.25" customHeight="1">
      <c r="A91" s="1006" t="s">
        <v>1238</v>
      </c>
      <c r="B91" s="1006"/>
      <c r="C91" s="1006"/>
      <c r="D91" s="1006"/>
      <c r="E91" s="1006"/>
      <c r="F91" s="1006"/>
      <c r="G91" s="31" t="n">
        <f>E13+E61+E85+E90</f>
        <v>29125.94</v>
      </c>
      <c r="H91" s="32"/>
      <c r="I91" s="33"/>
      <c r="J91" s="33"/>
      <c r="K91" s="33"/>
      <c r="L91" s="31" t="n">
        <f>J13+J61+J85+J90</f>
        <v>26611.94</v>
      </c>
      <c r="M91" s="32"/>
    </row>
    <row r="92" ht="14.25" customHeight="1">
      <c r="A92" s="34"/>
      <c r="B92" s="34"/>
      <c r="C92" s="35"/>
      <c r="D92" s="35"/>
      <c r="E92" s="34"/>
      <c r="F92" s="34"/>
      <c r="G92" s="35"/>
      <c r="H92" s="35"/>
      <c r="I92" s="35"/>
      <c r="J92" s="34"/>
      <c r="K92" s="34"/>
      <c r="L92" s="35"/>
      <c r="M92" s="35"/>
    </row>
    <row r="93" ht="14.25" customHeight="1">
      <c r="A93" s="34"/>
      <c r="B93" s="34"/>
      <c r="C93" s="35"/>
      <c r="D93" s="35"/>
      <c r="E93" s="34"/>
      <c r="F93" s="34"/>
      <c r="G93" s="35"/>
      <c r="H93" s="35"/>
      <c r="I93" s="35"/>
      <c r="J93" s="34"/>
      <c r="K93" s="34"/>
      <c r="L93" s="35"/>
      <c r="M93" s="35"/>
    </row>
    <row r="94" ht="36" customHeight="1">
      <c r="A94" s="996" t="s">
        <v>1328</v>
      </c>
      <c r="B94" s="997"/>
      <c r="C94" s="997"/>
      <c r="D94" s="997"/>
      <c r="E94" s="997"/>
      <c r="F94" s="997"/>
      <c r="G94" s="997"/>
      <c r="H94" s="997"/>
      <c r="I94" s="997"/>
      <c r="J94" s="997"/>
      <c r="K94" s="997"/>
      <c r="L94" s="997"/>
      <c r="M94" s="998"/>
    </row>
    <row r="95" ht="27" customHeight="1">
      <c r="A95" s="391" t="s">
        <v>214</v>
      </c>
      <c r="B95" s="994" t="s">
        <v>1240</v>
      </c>
      <c r="C95" s="995"/>
      <c r="D95" s="443" t="s">
        <v>1241</v>
      </c>
      <c r="E95" s="1174" t="s">
        <v>1242</v>
      </c>
      <c r="F95" s="443" t="s">
        <v>1018</v>
      </c>
      <c r="G95" s="1175" t="s">
        <v>1243</v>
      </c>
      <c r="H95" s="347" t="s">
        <v>3</v>
      </c>
      <c r="I95" s="443" t="s">
        <v>1241</v>
      </c>
      <c r="J95" s="1176" t="s">
        <v>1242</v>
      </c>
      <c r="K95" s="443" t="s">
        <v>1018</v>
      </c>
      <c r="L95" s="1177" t="s">
        <v>1243</v>
      </c>
      <c r="M95" s="347" t="s">
        <v>3</v>
      </c>
    </row>
    <row r="96" ht="14.25" customHeight="1">
      <c r="A96" s="458" t="s">
        <v>5</v>
      </c>
      <c r="B96" s="783" t="s">
        <v>5</v>
      </c>
      <c r="C96" s="783" t="s">
        <v>5</v>
      </c>
      <c r="D96" s="783" t="s">
        <v>5</v>
      </c>
      <c r="E96" s="783" t="s">
        <v>5</v>
      </c>
      <c r="F96" s="783" t="s">
        <v>5</v>
      </c>
      <c r="G96" s="805" t="s">
        <v>5</v>
      </c>
      <c r="H96" s="783" t="s">
        <v>5</v>
      </c>
      <c r="I96" s="783" t="s">
        <v>5</v>
      </c>
      <c r="J96" s="783" t="s">
        <v>5</v>
      </c>
      <c r="K96" s="783" t="s">
        <v>5</v>
      </c>
      <c r="L96" s="805" t="s">
        <v>5</v>
      </c>
      <c r="M96" s="783" t="s">
        <v>5</v>
      </c>
    </row>
    <row r="97" ht="14.25" customHeight="1">
      <c r="A97" s="987" t="s">
        <v>1252</v>
      </c>
      <c r="B97" s="1000" t="s">
        <v>1329</v>
      </c>
      <c r="C97" s="1001"/>
      <c r="D97" s="13" t="s">
        <v>1214</v>
      </c>
      <c r="E97" s="7" t="n">
        <v>1979.05</v>
      </c>
      <c r="F97" s="8" t="n">
        <v>1</v>
      </c>
      <c r="G97" s="9" t="n">
        <f>E97*F97</f>
        <v>1979.05</v>
      </c>
      <c r="H97" s="14"/>
      <c r="I97" s="13" t="s">
        <v>1214</v>
      </c>
      <c r="J97" s="7"/>
      <c r="K97" s="8"/>
      <c r="L97" s="9"/>
      <c r="M97" s="14"/>
    </row>
    <row r="98" ht="14.25" customHeight="1">
      <c r="A98" s="987"/>
      <c r="B98" s="978" t="s">
        <v>1330</v>
      </c>
      <c r="C98" s="979"/>
      <c r="D98" s="13" t="s">
        <v>1214</v>
      </c>
      <c r="E98" s="7" t="n">
        <v>1205.26</v>
      </c>
      <c r="F98" s="8" t="n">
        <v>1</v>
      </c>
      <c r="G98" s="9" t="n">
        <f>E98*F98</f>
        <v>1205.26</v>
      </c>
      <c r="H98" s="17"/>
      <c r="I98" s="13" t="s">
        <v>1214</v>
      </c>
      <c r="J98" s="7"/>
      <c r="K98" s="8"/>
      <c r="L98" s="9"/>
      <c r="M98" s="17"/>
    </row>
    <row r="99" ht="14.25" customHeight="1">
      <c r="A99" s="987"/>
      <c r="B99" s="978" t="s">
        <v>1331</v>
      </c>
      <c r="C99" s="979"/>
      <c r="D99" s="13" t="s">
        <v>1214</v>
      </c>
      <c r="E99" s="7" t="n">
        <v>90.27</v>
      </c>
      <c r="F99" s="8" t="n">
        <v>1</v>
      </c>
      <c r="G99" s="9" t="n">
        <f>E99*F99</f>
        <v>90.27</v>
      </c>
      <c r="H99" s="17"/>
      <c r="I99" s="13" t="s">
        <v>1214</v>
      </c>
      <c r="J99" s="7"/>
      <c r="K99" s="8"/>
      <c r="L99" s="9"/>
      <c r="M99" s="17"/>
    </row>
    <row r="100" ht="14.25" customHeight="1">
      <c r="A100" s="987"/>
      <c r="B100" s="978" t="s">
        <v>1332</v>
      </c>
      <c r="C100" s="979"/>
      <c r="D100" s="13" t="s">
        <v>1214</v>
      </c>
      <c r="E100" s="7" t="n">
        <v>0.06</v>
      </c>
      <c r="F100" s="8" t="n">
        <v>8</v>
      </c>
      <c r="G100" s="9" t="n">
        <f>E100*F100</f>
        <v>0.48</v>
      </c>
      <c r="H100" s="17"/>
      <c r="I100" s="13" t="s">
        <v>1214</v>
      </c>
      <c r="J100" s="7"/>
      <c r="K100" s="8"/>
      <c r="L100" s="9"/>
      <c r="M100" s="17"/>
    </row>
    <row r="101" ht="14.25" customHeight="1">
      <c r="A101" s="987"/>
      <c r="B101" s="978" t="s">
        <v>1333</v>
      </c>
      <c r="C101" s="979"/>
      <c r="D101" s="13" t="s">
        <v>1214</v>
      </c>
      <c r="E101" s="7" t="n">
        <v>0.29</v>
      </c>
      <c r="F101" s="8" t="n">
        <v>1</v>
      </c>
      <c r="G101" s="9" t="n">
        <f>E101*F101</f>
        <v>0.29</v>
      </c>
      <c r="H101" s="17"/>
      <c r="I101" s="13" t="s">
        <v>1214</v>
      </c>
      <c r="J101" s="7"/>
      <c r="K101" s="8"/>
      <c r="L101" s="9"/>
      <c r="M101" s="17"/>
    </row>
    <row r="102" ht="14.25" customHeight="1">
      <c r="A102" s="987"/>
      <c r="B102" s="978" t="s">
        <v>1334</v>
      </c>
      <c r="C102" s="979"/>
      <c r="D102" s="13" t="s">
        <v>1214</v>
      </c>
      <c r="E102" s="7" t="n">
        <v>58</v>
      </c>
      <c r="F102" s="8" t="n">
        <v>1</v>
      </c>
      <c r="G102" s="9" t="n">
        <f>E102*F102</f>
        <v>58</v>
      </c>
      <c r="H102" s="17"/>
      <c r="I102" s="13" t="s">
        <v>1214</v>
      </c>
      <c r="J102" s="7"/>
      <c r="K102" s="8"/>
      <c r="L102" s="9"/>
      <c r="M102" s="17"/>
    </row>
    <row r="103" ht="14.25" customHeight="1">
      <c r="A103" s="987"/>
      <c r="B103" s="978" t="s">
        <v>1335</v>
      </c>
      <c r="C103" s="979"/>
      <c r="D103" s="13" t="s">
        <v>1214</v>
      </c>
      <c r="E103" s="7" t="n">
        <v>0.01</v>
      </c>
      <c r="F103" s="8" t="n">
        <v>2</v>
      </c>
      <c r="G103" s="9" t="n">
        <f>E103*F103</f>
        <v>0.02</v>
      </c>
      <c r="H103" s="17"/>
      <c r="I103" s="13" t="s">
        <v>1214</v>
      </c>
      <c r="J103" s="7"/>
      <c r="K103" s="8"/>
      <c r="L103" s="9"/>
      <c r="M103" s="17"/>
    </row>
    <row r="104" ht="14.25" customHeight="1">
      <c r="A104" s="987"/>
      <c r="B104" s="978" t="s">
        <v>1336</v>
      </c>
      <c r="C104" s="979"/>
      <c r="D104" s="13" t="s">
        <v>1214</v>
      </c>
      <c r="E104" s="7" t="n">
        <v>2.2</v>
      </c>
      <c r="F104" s="8" t="n">
        <v>1</v>
      </c>
      <c r="G104" s="9" t="n">
        <f>E104*F104</f>
        <v>2.2</v>
      </c>
      <c r="H104" s="17"/>
      <c r="I104" s="13" t="s">
        <v>1214</v>
      </c>
      <c r="J104" s="7"/>
      <c r="K104" s="8"/>
      <c r="L104" s="9"/>
      <c r="M104" s="17"/>
    </row>
    <row r="105" ht="14.25" customHeight="1">
      <c r="A105" s="987"/>
      <c r="B105" s="978" t="s">
        <v>1337</v>
      </c>
      <c r="C105" s="979"/>
      <c r="D105" s="13" t="s">
        <v>1214</v>
      </c>
      <c r="E105" s="7" t="n">
        <v>254.74</v>
      </c>
      <c r="F105" s="8" t="n">
        <v>1</v>
      </c>
      <c r="G105" s="9" t="n">
        <f>E105*F105</f>
        <v>254.74</v>
      </c>
      <c r="H105" s="17"/>
      <c r="I105" s="13" t="s">
        <v>1214</v>
      </c>
      <c r="J105" s="7"/>
      <c r="K105" s="8"/>
      <c r="L105" s="9"/>
      <c r="M105" s="17"/>
    </row>
    <row r="106" ht="14.25" customHeight="1">
      <c r="A106" s="987"/>
      <c r="B106" s="978" t="s">
        <v>1338</v>
      </c>
      <c r="C106" s="979"/>
      <c r="D106" s="13" t="s">
        <v>1214</v>
      </c>
      <c r="E106" s="7" t="n">
        <v>14.16</v>
      </c>
      <c r="F106" s="8" t="n">
        <v>1</v>
      </c>
      <c r="G106" s="9" t="n">
        <f>E106*F106</f>
        <v>14.16</v>
      </c>
      <c r="H106" s="17"/>
      <c r="I106" s="13" t="s">
        <v>1214</v>
      </c>
      <c r="J106" s="7"/>
      <c r="K106" s="8"/>
      <c r="L106" s="9"/>
      <c r="M106" s="17"/>
    </row>
    <row r="107" ht="14.25" customHeight="1">
      <c r="A107" s="987"/>
      <c r="B107" s="978" t="s">
        <v>1339</v>
      </c>
      <c r="C107" s="979"/>
      <c r="D107" s="13" t="s">
        <v>1214</v>
      </c>
      <c r="E107" s="7" t="n">
        <v>18.21</v>
      </c>
      <c r="F107" s="8" t="n">
        <v>1</v>
      </c>
      <c r="G107" s="9" t="n">
        <f>E107*F107</f>
        <v>18.21</v>
      </c>
      <c r="H107" s="17"/>
      <c r="I107" s="13" t="s">
        <v>1214</v>
      </c>
      <c r="J107" s="7"/>
      <c r="K107" s="8"/>
      <c r="L107" s="9"/>
      <c r="M107" s="17"/>
    </row>
    <row r="108" ht="14.25" customHeight="1">
      <c r="A108" s="987"/>
      <c r="B108" s="978" t="s">
        <v>1340</v>
      </c>
      <c r="C108" s="979"/>
      <c r="D108" s="13" t="s">
        <v>1214</v>
      </c>
      <c r="E108" s="7" t="n">
        <v>5.22</v>
      </c>
      <c r="F108" s="8" t="n">
        <v>8</v>
      </c>
      <c r="G108" s="9" t="n">
        <f>E108*F108</f>
        <v>41.76</v>
      </c>
      <c r="H108" s="17"/>
      <c r="I108" s="13" t="s">
        <v>1214</v>
      </c>
      <c r="J108" s="7"/>
      <c r="K108" s="8"/>
      <c r="L108" s="9"/>
      <c r="M108" s="17"/>
    </row>
    <row r="109" ht="14.25" customHeight="1">
      <c r="A109" s="987"/>
      <c r="B109" s="978" t="s">
        <v>1341</v>
      </c>
      <c r="C109" s="979"/>
      <c r="D109" s="13" t="s">
        <v>1214</v>
      </c>
      <c r="E109" s="7" t="n">
        <v>76.13</v>
      </c>
      <c r="F109" s="8" t="n">
        <v>1</v>
      </c>
      <c r="G109" s="9" t="n">
        <f>E109*F109</f>
        <v>76.13</v>
      </c>
      <c r="H109" s="17"/>
      <c r="I109" s="13" t="s">
        <v>1214</v>
      </c>
      <c r="J109" s="7"/>
      <c r="K109" s="8"/>
      <c r="L109" s="9"/>
      <c r="M109" s="17"/>
    </row>
    <row r="110" ht="14.25" customHeight="1">
      <c r="A110" s="987"/>
      <c r="B110" s="978" t="s">
        <v>1342</v>
      </c>
      <c r="C110" s="979"/>
      <c r="D110" s="13" t="s">
        <v>1214</v>
      </c>
      <c r="E110" s="7" t="n">
        <v>1.03</v>
      </c>
      <c r="F110" s="8" t="n">
        <v>3</v>
      </c>
      <c r="G110" s="9" t="n">
        <f>E110*F110</f>
        <v>3.09</v>
      </c>
      <c r="H110" s="17"/>
      <c r="I110" s="13" t="s">
        <v>1214</v>
      </c>
      <c r="J110" s="7"/>
      <c r="K110" s="8"/>
      <c r="L110" s="9"/>
      <c r="M110" s="17"/>
    </row>
    <row r="111" ht="14.25" customHeight="1">
      <c r="A111" s="987"/>
      <c r="B111" s="978" t="s">
        <v>1343</v>
      </c>
      <c r="C111" s="979"/>
      <c r="D111" s="13" t="s">
        <v>1214</v>
      </c>
      <c r="E111" s="7" t="n">
        <v>4.9</v>
      </c>
      <c r="F111" s="8" t="n">
        <v>8</v>
      </c>
      <c r="G111" s="9" t="n">
        <f>E111*F111</f>
        <v>39.2</v>
      </c>
      <c r="H111" s="17"/>
      <c r="I111" s="13" t="s">
        <v>1214</v>
      </c>
      <c r="J111" s="7"/>
      <c r="K111" s="8"/>
      <c r="L111" s="9"/>
      <c r="M111" s="17"/>
    </row>
    <row r="112" ht="14.25" customHeight="1">
      <c r="A112" s="987"/>
      <c r="B112" s="978" t="s">
        <v>1344</v>
      </c>
      <c r="C112" s="979"/>
      <c r="D112" s="13" t="s">
        <v>1214</v>
      </c>
      <c r="E112" s="7" t="n">
        <v>18.64</v>
      </c>
      <c r="F112" s="8" t="n">
        <v>3</v>
      </c>
      <c r="G112" s="9" t="n">
        <f>E112*F112</f>
        <v>55.92</v>
      </c>
      <c r="H112" s="17"/>
      <c r="I112" s="13" t="s">
        <v>1214</v>
      </c>
      <c r="J112" s="7"/>
      <c r="K112" s="8"/>
      <c r="L112" s="9"/>
      <c r="M112" s="17"/>
    </row>
    <row r="113" ht="14.25" customHeight="1">
      <c r="A113" s="987"/>
      <c r="B113" s="978" t="s">
        <v>1345</v>
      </c>
      <c r="C113" s="979"/>
      <c r="D113" s="13" t="s">
        <v>1214</v>
      </c>
      <c r="E113" s="7" t="n">
        <v>0.06</v>
      </c>
      <c r="F113" s="8" t="n">
        <v>1</v>
      </c>
      <c r="G113" s="9" t="n">
        <f>E113*F113</f>
        <v>0.06</v>
      </c>
      <c r="H113" s="17"/>
      <c r="I113" s="13" t="s">
        <v>1214</v>
      </c>
      <c r="J113" s="7"/>
      <c r="K113" s="8"/>
      <c r="L113" s="9"/>
      <c r="M113" s="17"/>
    </row>
    <row r="114" ht="14.25" customHeight="1">
      <c r="A114" s="987"/>
      <c r="B114" s="978" t="s">
        <v>1346</v>
      </c>
      <c r="C114" s="979"/>
      <c r="D114" s="13" t="s">
        <v>1214</v>
      </c>
      <c r="E114" s="7" t="n">
        <v>3.8</v>
      </c>
      <c r="F114" s="8" t="n">
        <v>1</v>
      </c>
      <c r="G114" s="9" t="n">
        <f>E114*F114</f>
        <v>3.8</v>
      </c>
      <c r="H114" s="17"/>
      <c r="I114" s="13" t="s">
        <v>1214</v>
      </c>
      <c r="J114" s="7"/>
      <c r="K114" s="8"/>
      <c r="L114" s="9"/>
      <c r="M114" s="17"/>
    </row>
    <row r="115" ht="14.25" customHeight="1">
      <c r="A115" s="987"/>
      <c r="B115" s="978" t="s">
        <v>1347</v>
      </c>
      <c r="C115" s="979"/>
      <c r="D115" s="13" t="s">
        <v>1214</v>
      </c>
      <c r="E115" s="7" t="n">
        <v>87.01</v>
      </c>
      <c r="F115" s="8" t="n">
        <v>1</v>
      </c>
      <c r="G115" s="9" t="n">
        <f>E115*F115</f>
        <v>87.01</v>
      </c>
      <c r="H115" s="17"/>
      <c r="I115" s="13" t="s">
        <v>1214</v>
      </c>
      <c r="J115" s="7"/>
      <c r="K115" s="8"/>
      <c r="L115" s="9"/>
      <c r="M115" s="17"/>
    </row>
    <row r="116" ht="14.25" customHeight="1">
      <c r="A116" s="987"/>
      <c r="B116" s="978" t="s">
        <v>1348</v>
      </c>
      <c r="C116" s="979"/>
      <c r="D116" s="13" t="s">
        <v>1214</v>
      </c>
      <c r="E116" s="7" t="n">
        <v>72.06</v>
      </c>
      <c r="F116" s="8" t="n">
        <v>1</v>
      </c>
      <c r="G116" s="9" t="n">
        <f>E116*F116</f>
        <v>72.06</v>
      </c>
      <c r="H116" s="17"/>
      <c r="I116" s="13" t="s">
        <v>1214</v>
      </c>
      <c r="J116" s="7"/>
      <c r="K116" s="8"/>
      <c r="L116" s="9"/>
      <c r="M116" s="17"/>
    </row>
    <row r="117" ht="14.25" customHeight="1">
      <c r="A117" s="987"/>
      <c r="B117" s="978" t="s">
        <v>1349</v>
      </c>
      <c r="C117" s="979"/>
      <c r="D117" s="13" t="s">
        <v>1214</v>
      </c>
      <c r="E117" s="7" t="n">
        <v>430.1</v>
      </c>
      <c r="F117" s="8" t="n">
        <v>1</v>
      </c>
      <c r="G117" s="9" t="n">
        <f>E117*F117</f>
        <v>430.1</v>
      </c>
      <c r="H117" s="17"/>
      <c r="I117" s="13" t="s">
        <v>1214</v>
      </c>
      <c r="J117" s="7"/>
      <c r="K117" s="8"/>
      <c r="L117" s="9"/>
      <c r="M117" s="17"/>
    </row>
    <row r="118" ht="14.25" customHeight="1">
      <c r="A118" s="987"/>
      <c r="B118" s="978" t="s">
        <v>1350</v>
      </c>
      <c r="C118" s="979"/>
      <c r="D118" s="13" t="s">
        <v>1214</v>
      </c>
      <c r="E118" s="7" t="n">
        <v>1948.17</v>
      </c>
      <c r="F118" s="8" t="n">
        <v>1</v>
      </c>
      <c r="G118" s="9" t="n">
        <f>E118*F118</f>
        <v>1948.17</v>
      </c>
      <c r="H118" s="17"/>
      <c r="I118" s="13" t="s">
        <v>1214</v>
      </c>
      <c r="J118" s="7"/>
      <c r="K118" s="8"/>
      <c r="L118" s="9"/>
      <c r="M118" s="17"/>
    </row>
    <row r="119" ht="14.25" customHeight="1">
      <c r="A119" s="987"/>
      <c r="B119" s="978" t="s">
        <v>1351</v>
      </c>
      <c r="C119" s="979"/>
      <c r="D119" s="13" t="s">
        <v>1214</v>
      </c>
      <c r="E119" s="7" t="n">
        <v>7</v>
      </c>
      <c r="F119" s="8" t="n">
        <v>2</v>
      </c>
      <c r="G119" s="9" t="n">
        <f>E119*F119</f>
        <v>14</v>
      </c>
      <c r="H119" s="17"/>
      <c r="I119" s="13" t="s">
        <v>1214</v>
      </c>
      <c r="J119" s="7"/>
      <c r="K119" s="8"/>
      <c r="L119" s="9"/>
      <c r="M119" s="17"/>
    </row>
    <row r="120" ht="14.25" customHeight="1">
      <c r="A120" s="987"/>
      <c r="B120" s="978" t="s">
        <v>1352</v>
      </c>
      <c r="C120" s="979"/>
      <c r="D120" s="13" t="s">
        <v>1214</v>
      </c>
      <c r="E120" s="7" t="n">
        <v>1.19</v>
      </c>
      <c r="F120" s="8" t="n">
        <v>2</v>
      </c>
      <c r="G120" s="9" t="n">
        <f>E120*F120</f>
        <v>2.38</v>
      </c>
      <c r="H120" s="17"/>
      <c r="I120" s="13" t="s">
        <v>1214</v>
      </c>
      <c r="J120" s="7"/>
      <c r="K120" s="8"/>
      <c r="L120" s="9"/>
      <c r="M120" s="17"/>
    </row>
    <row r="121" ht="14.25" customHeight="1">
      <c r="A121" s="987"/>
      <c r="B121" s="978" t="s">
        <v>1353</v>
      </c>
      <c r="C121" s="979"/>
      <c r="D121" s="13" t="s">
        <v>1214</v>
      </c>
      <c r="E121" s="7" t="n">
        <v>4.42</v>
      </c>
      <c r="F121" s="8" t="n">
        <v>2</v>
      </c>
      <c r="G121" s="9" t="n">
        <f>E121*F121</f>
        <v>8.84</v>
      </c>
      <c r="H121" s="17"/>
      <c r="I121" s="13" t="s">
        <v>1214</v>
      </c>
      <c r="J121" s="7"/>
      <c r="K121" s="8"/>
      <c r="L121" s="9"/>
      <c r="M121" s="17"/>
    </row>
    <row r="122" ht="14.25" customHeight="1">
      <c r="A122" s="987"/>
      <c r="B122" s="978" t="s">
        <v>1354</v>
      </c>
      <c r="C122" s="979"/>
      <c r="D122" s="13"/>
      <c r="E122" s="7" t="n">
        <v>9.5</v>
      </c>
      <c r="F122" s="8" t="n">
        <v>4</v>
      </c>
      <c r="G122" s="9" t="n">
        <f>E122*F122</f>
        <v>38</v>
      </c>
      <c r="H122" s="17"/>
      <c r="I122" s="13"/>
      <c r="J122" s="7"/>
      <c r="K122" s="8"/>
      <c r="L122" s="9"/>
      <c r="M122" s="17"/>
    </row>
    <row r="123" ht="14.25" customHeight="1">
      <c r="A123" s="987"/>
      <c r="B123" s="978" t="s">
        <v>1355</v>
      </c>
      <c r="C123" s="979"/>
      <c r="D123" s="13"/>
      <c r="E123" s="7" t="n">
        <v>0.03</v>
      </c>
      <c r="F123" s="8" t="n">
        <v>12</v>
      </c>
      <c r="G123" s="9" t="n">
        <f>E123*F123</f>
        <v>0.36</v>
      </c>
      <c r="H123" s="17"/>
      <c r="I123" s="13"/>
      <c r="J123" s="7"/>
      <c r="K123" s="8"/>
      <c r="L123" s="9"/>
      <c r="M123" s="17"/>
    </row>
    <row r="124" ht="14.25" customHeight="1">
      <c r="A124" s="987"/>
      <c r="B124" s="978" t="s">
        <v>1356</v>
      </c>
      <c r="C124" s="979"/>
      <c r="D124" s="13"/>
      <c r="E124" s="7" t="n">
        <v>0.02</v>
      </c>
      <c r="F124" s="8" t="n">
        <v>8</v>
      </c>
      <c r="G124" s="9" t="n">
        <f>E124*F124</f>
        <v>0.16</v>
      </c>
      <c r="H124" s="17"/>
      <c r="I124" s="13"/>
      <c r="J124" s="7"/>
      <c r="K124" s="8"/>
      <c r="L124" s="9"/>
      <c r="M124" s="17"/>
    </row>
    <row r="125" ht="14.25" customHeight="1">
      <c r="A125" s="987"/>
      <c r="B125" s="978" t="s">
        <v>1357</v>
      </c>
      <c r="C125" s="979"/>
      <c r="D125" s="13"/>
      <c r="E125" s="7" t="n">
        <v>0.02</v>
      </c>
      <c r="F125" s="8" t="n">
        <v>4</v>
      </c>
      <c r="G125" s="9" t="n">
        <f>E125*F125</f>
        <v>0.08</v>
      </c>
      <c r="H125" s="17"/>
      <c r="I125" s="13"/>
      <c r="J125" s="7"/>
      <c r="K125" s="8"/>
      <c r="L125" s="9"/>
      <c r="M125" s="17"/>
    </row>
    <row r="126" ht="14.25" customHeight="1">
      <c r="A126" s="987"/>
      <c r="B126" s="978" t="s">
        <v>1358</v>
      </c>
      <c r="C126" s="979"/>
      <c r="D126" s="13"/>
      <c r="E126" s="7" t="n">
        <v>0.1</v>
      </c>
      <c r="F126" s="8" t="n">
        <v>2</v>
      </c>
      <c r="G126" s="9" t="n">
        <f>E126*F126</f>
        <v>0.2</v>
      </c>
      <c r="H126" s="17"/>
      <c r="I126" s="13"/>
      <c r="J126" s="7"/>
      <c r="K126" s="8"/>
      <c r="L126" s="9"/>
      <c r="M126" s="17"/>
    </row>
    <row r="127" ht="14.25" customHeight="1">
      <c r="A127" s="987"/>
      <c r="B127" s="978" t="s">
        <v>1359</v>
      </c>
      <c r="C127" s="979"/>
      <c r="D127" s="13"/>
      <c r="E127" s="7" t="n">
        <v>0.18</v>
      </c>
      <c r="F127" s="8" t="n">
        <v>8</v>
      </c>
      <c r="G127" s="9" t="n">
        <f>E127*F127</f>
        <v>1.44</v>
      </c>
      <c r="H127" s="17"/>
      <c r="I127" s="13"/>
      <c r="J127" s="7"/>
      <c r="K127" s="8"/>
      <c r="L127" s="9"/>
      <c r="M127" s="17"/>
    </row>
    <row r="128" ht="14.25" customHeight="1">
      <c r="A128" s="987"/>
      <c r="B128" s="978" t="s">
        <v>1360</v>
      </c>
      <c r="C128" s="979"/>
      <c r="D128" s="13"/>
      <c r="E128" s="7" t="n">
        <v>0.02</v>
      </c>
      <c r="F128" s="8" t="n">
        <v>8</v>
      </c>
      <c r="G128" s="9" t="n">
        <f>E128*F128</f>
        <v>0.16</v>
      </c>
      <c r="H128" s="17"/>
      <c r="I128" s="13"/>
      <c r="J128" s="7"/>
      <c r="K128" s="8"/>
      <c r="L128" s="9"/>
      <c r="M128" s="17"/>
    </row>
    <row r="129" ht="14.25" customHeight="1">
      <c r="A129" s="987"/>
      <c r="B129" s="978" t="s">
        <v>1361</v>
      </c>
      <c r="C129" s="979"/>
      <c r="D129" s="13"/>
      <c r="E129" s="7" t="n">
        <v>0.09</v>
      </c>
      <c r="F129" s="8" t="n">
        <v>5</v>
      </c>
      <c r="G129" s="9" t="n">
        <f>E129*F129</f>
        <v>0.45</v>
      </c>
      <c r="H129" s="17"/>
      <c r="I129" s="13"/>
      <c r="J129" s="7"/>
      <c r="K129" s="8"/>
      <c r="L129" s="9"/>
      <c r="M129" s="17"/>
    </row>
    <row r="130" ht="14.25" customHeight="1">
      <c r="A130" s="987"/>
      <c r="B130" s="978" t="s">
        <v>1362</v>
      </c>
      <c r="C130" s="979"/>
      <c r="D130" s="13"/>
      <c r="E130" s="7" t="n">
        <v>0.1</v>
      </c>
      <c r="F130" s="8" t="n">
        <v>2</v>
      </c>
      <c r="G130" s="9" t="n">
        <f>E130*F130</f>
        <v>0.2</v>
      </c>
      <c r="H130" s="17"/>
      <c r="I130" s="13"/>
      <c r="J130" s="7"/>
      <c r="K130" s="8"/>
      <c r="L130" s="9"/>
      <c r="M130" s="17"/>
    </row>
    <row r="131" ht="14.25" customHeight="1">
      <c r="A131" s="987"/>
      <c r="B131" s="978" t="s">
        <v>1363</v>
      </c>
      <c r="C131" s="979"/>
      <c r="D131" s="13"/>
      <c r="E131" s="7" t="n">
        <v>0.2</v>
      </c>
      <c r="F131" s="8" t="n">
        <v>4</v>
      </c>
      <c r="G131" s="9" t="n">
        <f>E131*F131</f>
        <v>0.8</v>
      </c>
      <c r="H131" s="17"/>
      <c r="I131" s="13"/>
      <c r="J131" s="7"/>
      <c r="K131" s="8"/>
      <c r="L131" s="9"/>
      <c r="M131" s="17"/>
    </row>
    <row r="132" ht="14.25" customHeight="1">
      <c r="A132" s="987"/>
      <c r="B132" s="978" t="s">
        <v>1364</v>
      </c>
      <c r="C132" s="979"/>
      <c r="D132" s="13"/>
      <c r="E132" s="7" t="n">
        <v>0.11</v>
      </c>
      <c r="F132" s="8" t="n">
        <v>58</v>
      </c>
      <c r="G132" s="9" t="n">
        <f>E132*F132</f>
        <v>6.38</v>
      </c>
      <c r="H132" s="17"/>
      <c r="I132" s="13"/>
      <c r="J132" s="7"/>
      <c r="K132" s="8"/>
      <c r="L132" s="9"/>
      <c r="M132" s="17"/>
    </row>
    <row r="133" ht="14.25" customHeight="1">
      <c r="A133" s="987"/>
      <c r="B133" s="978" t="s">
        <v>1365</v>
      </c>
      <c r="C133" s="979"/>
      <c r="D133" s="13"/>
      <c r="E133" s="7" t="n">
        <v>0.47</v>
      </c>
      <c r="F133" s="8" t="n">
        <v>6</v>
      </c>
      <c r="G133" s="9" t="n">
        <f>E133*F133</f>
        <v>2.82</v>
      </c>
      <c r="H133" s="17"/>
      <c r="I133" s="13"/>
      <c r="J133" s="7"/>
      <c r="K133" s="8"/>
      <c r="L133" s="9"/>
      <c r="M133" s="17"/>
    </row>
    <row r="134" ht="14.25" customHeight="1">
      <c r="A134" s="987"/>
      <c r="B134" s="978" t="s">
        <v>1366</v>
      </c>
      <c r="C134" s="979"/>
      <c r="D134" s="13"/>
      <c r="E134" s="7" t="n">
        <v>0.33</v>
      </c>
      <c r="F134" s="8" t="n">
        <v>5</v>
      </c>
      <c r="G134" s="9" t="n">
        <f>E134*F134</f>
        <v>1.65</v>
      </c>
      <c r="H134" s="17"/>
      <c r="I134" s="13"/>
      <c r="J134" s="7"/>
      <c r="K134" s="8"/>
      <c r="L134" s="9"/>
      <c r="M134" s="17"/>
    </row>
    <row r="135" ht="14.25" customHeight="1">
      <c r="A135" s="987"/>
      <c r="B135" s="978" t="s">
        <v>1367</v>
      </c>
      <c r="C135" s="979"/>
      <c r="D135" s="13"/>
      <c r="E135" s="7" t="n">
        <v>0.25</v>
      </c>
      <c r="F135" s="8" t="n">
        <v>1</v>
      </c>
      <c r="G135" s="9" t="n">
        <f>E135*F135</f>
        <v>0.25</v>
      </c>
      <c r="H135" s="17"/>
      <c r="I135" s="13"/>
      <c r="J135" s="7"/>
      <c r="K135" s="8"/>
      <c r="L135" s="9"/>
      <c r="M135" s="17"/>
    </row>
    <row r="136" ht="14.25" customHeight="1">
      <c r="A136" s="987"/>
      <c r="B136" s="978" t="s">
        <v>1368</v>
      </c>
      <c r="C136" s="979"/>
      <c r="D136" s="13"/>
      <c r="E136" s="7" t="n">
        <v>0.12</v>
      </c>
      <c r="F136" s="8" t="n">
        <v>20</v>
      </c>
      <c r="G136" s="9" t="n">
        <f>E136*F136</f>
        <v>2.4</v>
      </c>
      <c r="H136" s="17"/>
      <c r="I136" s="13"/>
      <c r="J136" s="7"/>
      <c r="K136" s="8"/>
      <c r="L136" s="9"/>
      <c r="M136" s="17"/>
    </row>
    <row r="137" ht="14.25" customHeight="1">
      <c r="A137" s="987"/>
      <c r="B137" s="978" t="s">
        <v>1369</v>
      </c>
      <c r="C137" s="979"/>
      <c r="D137" s="13"/>
      <c r="E137" s="7" t="n">
        <v>0.1</v>
      </c>
      <c r="F137" s="8" t="n">
        <v>6</v>
      </c>
      <c r="G137" s="9" t="n">
        <f>E137*F137</f>
        <v>0.6</v>
      </c>
      <c r="H137" s="17"/>
      <c r="I137" s="13"/>
      <c r="J137" s="7"/>
      <c r="K137" s="8"/>
      <c r="L137" s="9"/>
      <c r="M137" s="17"/>
    </row>
    <row r="138" ht="14.25" customHeight="1">
      <c r="A138" s="987"/>
      <c r="B138" s="978" t="s">
        <v>1370</v>
      </c>
      <c r="C138" s="979"/>
      <c r="D138" s="13"/>
      <c r="E138" s="7" t="n">
        <v>5.53333333333333</v>
      </c>
      <c r="F138" s="8" t="n">
        <v>0.15</v>
      </c>
      <c r="G138" s="9" t="n">
        <f>E138*F138</f>
        <v>0.829999999999999</v>
      </c>
      <c r="H138" s="17"/>
      <c r="I138" s="13"/>
      <c r="J138" s="7"/>
      <c r="K138" s="8"/>
      <c r="L138" s="9"/>
      <c r="M138" s="17"/>
    </row>
    <row r="139" ht="14.25" customHeight="1">
      <c r="A139" s="987"/>
      <c r="B139" s="978" t="s">
        <v>1371</v>
      </c>
      <c r="C139" s="979"/>
      <c r="D139" s="13"/>
      <c r="E139" s="7" t="n">
        <v>0.4</v>
      </c>
      <c r="F139" s="8" t="n">
        <v>1</v>
      </c>
      <c r="G139" s="9" t="n">
        <f>E139*F139</f>
        <v>0.4</v>
      </c>
      <c r="H139" s="17"/>
      <c r="I139" s="13"/>
      <c r="J139" s="7"/>
      <c r="K139" s="8"/>
      <c r="L139" s="9"/>
      <c r="M139" s="17"/>
    </row>
    <row r="140" ht="14.25" customHeight="1">
      <c r="A140" s="987"/>
      <c r="B140" s="978" t="s">
        <v>1372</v>
      </c>
      <c r="C140" s="979"/>
      <c r="D140" s="13"/>
      <c r="E140" s="7" t="n">
        <v>1.06</v>
      </c>
      <c r="F140" s="8" t="n">
        <v>1</v>
      </c>
      <c r="G140" s="9" t="n">
        <f>E140*F140</f>
        <v>1.06</v>
      </c>
      <c r="H140" s="17"/>
      <c r="I140" s="13"/>
      <c r="J140" s="7"/>
      <c r="K140" s="8"/>
      <c r="L140" s="9"/>
      <c r="M140" s="17"/>
    </row>
    <row r="141" ht="14.25" customHeight="1">
      <c r="A141" s="987"/>
      <c r="B141" s="978" t="s">
        <v>1373</v>
      </c>
      <c r="C141" s="979"/>
      <c r="D141" s="13"/>
      <c r="E141" s="7" t="n">
        <v>1.02</v>
      </c>
      <c r="F141" s="8" t="n">
        <v>1</v>
      </c>
      <c r="G141" s="9" t="n">
        <f>E141*F141</f>
        <v>1.02</v>
      </c>
      <c r="H141" s="17"/>
      <c r="I141" s="13"/>
      <c r="J141" s="7"/>
      <c r="K141" s="8"/>
      <c r="L141" s="9"/>
      <c r="M141" s="17"/>
    </row>
    <row r="142" ht="14.25" customHeight="1">
      <c r="A142" s="987"/>
      <c r="B142" s="978" t="s">
        <v>1374</v>
      </c>
      <c r="C142" s="979"/>
      <c r="D142" s="13"/>
      <c r="E142" s="7" t="n">
        <v>159.29</v>
      </c>
      <c r="F142" s="8" t="n">
        <v>1</v>
      </c>
      <c r="G142" s="9" t="n">
        <f>E142*F142</f>
        <v>159.29</v>
      </c>
      <c r="H142" s="17"/>
      <c r="I142" s="13"/>
      <c r="J142" s="7"/>
      <c r="K142" s="8"/>
      <c r="L142" s="9"/>
      <c r="M142" s="17"/>
    </row>
    <row r="143" ht="14.25" customHeight="1">
      <c r="A143" s="987"/>
      <c r="B143" s="978" t="s">
        <v>1375</v>
      </c>
      <c r="C143" s="979"/>
      <c r="D143" s="13"/>
      <c r="E143" s="7" t="n">
        <v>57.52</v>
      </c>
      <c r="F143" s="8" t="n">
        <v>1</v>
      </c>
      <c r="G143" s="9" t="n">
        <f>E143*F143</f>
        <v>57.52</v>
      </c>
      <c r="H143" s="17"/>
      <c r="I143" s="13"/>
      <c r="J143" s="7"/>
      <c r="K143" s="8"/>
      <c r="L143" s="9"/>
      <c r="M143" s="17"/>
    </row>
    <row r="144" ht="14.25" customHeight="1">
      <c r="A144" s="987"/>
      <c r="B144" s="978" t="s">
        <v>1376</v>
      </c>
      <c r="C144" s="979"/>
      <c r="D144" s="13"/>
      <c r="E144" s="7" t="n">
        <v>22.12</v>
      </c>
      <c r="F144" s="8" t="n">
        <v>1</v>
      </c>
      <c r="G144" s="9" t="n">
        <f>E144*F144</f>
        <v>22.12</v>
      </c>
      <c r="H144" s="17"/>
      <c r="I144" s="13"/>
      <c r="J144" s="7"/>
      <c r="K144" s="8"/>
      <c r="L144" s="9"/>
      <c r="M144" s="17"/>
    </row>
    <row r="145" ht="14.25" customHeight="1">
      <c r="A145" s="987"/>
      <c r="B145" s="978" t="s">
        <v>1377</v>
      </c>
      <c r="C145" s="979"/>
      <c r="D145" s="13"/>
      <c r="E145" s="7" t="n">
        <v>35.4</v>
      </c>
      <c r="F145" s="8" t="n">
        <v>1</v>
      </c>
      <c r="G145" s="9" t="n">
        <f>E145*F145</f>
        <v>35.4</v>
      </c>
      <c r="H145" s="17"/>
      <c r="I145" s="13"/>
      <c r="J145" s="7"/>
      <c r="K145" s="8"/>
      <c r="L145" s="9"/>
      <c r="M145" s="17"/>
    </row>
    <row r="146" ht="14.25" customHeight="1">
      <c r="A146" s="987"/>
      <c r="B146" s="978" t="s">
        <v>1378</v>
      </c>
      <c r="C146" s="979"/>
      <c r="D146" s="13"/>
      <c r="E146" s="7" t="n">
        <v>26.55</v>
      </c>
      <c r="F146" s="8" t="n">
        <v>1</v>
      </c>
      <c r="G146" s="9" t="n">
        <f>E146*F146</f>
        <v>26.55</v>
      </c>
      <c r="H146" s="17"/>
      <c r="I146" s="13"/>
      <c r="J146" s="7"/>
      <c r="K146" s="8"/>
      <c r="L146" s="9"/>
      <c r="M146" s="17"/>
    </row>
    <row r="147" ht="14.25" customHeight="1">
      <c r="A147" s="987"/>
      <c r="B147" s="978" t="s">
        <v>1379</v>
      </c>
      <c r="C147" s="979"/>
      <c r="D147" s="13"/>
      <c r="E147" s="7" t="n">
        <v>14.39</v>
      </c>
      <c r="F147" s="8" t="n">
        <v>2</v>
      </c>
      <c r="G147" s="9" t="n">
        <f>E147*F147</f>
        <v>28.78</v>
      </c>
      <c r="H147" s="17"/>
      <c r="I147" s="13"/>
      <c r="J147" s="7"/>
      <c r="K147" s="8"/>
      <c r="L147" s="9"/>
      <c r="M147" s="17"/>
    </row>
    <row r="148" ht="14.25" customHeight="1">
      <c r="A148" s="987"/>
      <c r="B148" s="978" t="s">
        <v>1380</v>
      </c>
      <c r="C148" s="979"/>
      <c r="D148" s="13"/>
      <c r="E148" s="7" t="n">
        <v>6</v>
      </c>
      <c r="F148" s="8" t="n">
        <v>1</v>
      </c>
      <c r="G148" s="9" t="n">
        <f>E148*F148</f>
        <v>6</v>
      </c>
      <c r="H148" s="17"/>
      <c r="I148" s="13"/>
      <c r="J148" s="7"/>
      <c r="K148" s="8"/>
      <c r="L148" s="9"/>
      <c r="M148" s="17"/>
    </row>
    <row r="149" ht="14.25" customHeight="1">
      <c r="A149" s="987"/>
      <c r="B149" s="978" t="s">
        <v>1381</v>
      </c>
      <c r="C149" s="979"/>
      <c r="D149" s="13"/>
      <c r="E149" s="7" t="n">
        <v>6.63</v>
      </c>
      <c r="F149" s="8" t="n">
        <v>1</v>
      </c>
      <c r="G149" s="9" t="n">
        <f>E149*F149</f>
        <v>6.63</v>
      </c>
      <c r="H149" s="17"/>
      <c r="I149" s="13"/>
      <c r="J149" s="7"/>
      <c r="K149" s="8"/>
      <c r="L149" s="9"/>
      <c r="M149" s="17"/>
    </row>
    <row r="150" ht="14.25" customHeight="1">
      <c r="A150" s="987"/>
      <c r="B150" s="978" t="s">
        <v>1382</v>
      </c>
      <c r="C150" s="979"/>
      <c r="D150" s="13"/>
      <c r="E150" s="7" t="n">
        <v>11.03</v>
      </c>
      <c r="F150" s="8" t="n">
        <v>1</v>
      </c>
      <c r="G150" s="9" t="n">
        <f>E150*F150</f>
        <v>11.03</v>
      </c>
      <c r="H150" s="17"/>
      <c r="I150" s="13"/>
      <c r="J150" s="7"/>
      <c r="K150" s="8"/>
      <c r="L150" s="9"/>
      <c r="M150" s="17"/>
    </row>
    <row r="151" ht="14.25" customHeight="1">
      <c r="A151" s="987"/>
      <c r="B151" s="978" t="s">
        <v>1383</v>
      </c>
      <c r="C151" s="979"/>
      <c r="D151" s="13"/>
      <c r="E151" s="7" t="n">
        <v>18.48</v>
      </c>
      <c r="F151" s="8" t="n">
        <v>1</v>
      </c>
      <c r="G151" s="9" t="n">
        <f>E151*F151</f>
        <v>18.48</v>
      </c>
      <c r="H151" s="17"/>
      <c r="I151" s="13"/>
      <c r="J151" s="7"/>
      <c r="K151" s="8"/>
      <c r="L151" s="9"/>
      <c r="M151" s="17"/>
    </row>
    <row r="152" ht="14.25" customHeight="1">
      <c r="A152" s="987"/>
      <c r="B152" s="978" t="s">
        <v>1384</v>
      </c>
      <c r="C152" s="979"/>
      <c r="D152" s="13"/>
      <c r="E152" s="7" t="n">
        <v>54.52</v>
      </c>
      <c r="F152" s="8" t="n">
        <v>1</v>
      </c>
      <c r="G152" s="9" t="n">
        <f>E152*F152</f>
        <v>54.52</v>
      </c>
      <c r="H152" s="17"/>
      <c r="I152" s="13"/>
      <c r="J152" s="7"/>
      <c r="K152" s="8"/>
      <c r="L152" s="9"/>
      <c r="M152" s="17"/>
    </row>
    <row r="153" ht="14.25" customHeight="1">
      <c r="A153" s="987"/>
      <c r="B153" s="978" t="s">
        <v>1385</v>
      </c>
      <c r="C153" s="979"/>
      <c r="D153" s="13"/>
      <c r="E153" s="7" t="n">
        <v>53.8</v>
      </c>
      <c r="F153" s="8" t="n">
        <v>1</v>
      </c>
      <c r="G153" s="9" t="n">
        <f>E153*F153</f>
        <v>53.8</v>
      </c>
      <c r="H153" s="17"/>
      <c r="I153" s="13"/>
      <c r="J153" s="7"/>
      <c r="K153" s="8"/>
      <c r="L153" s="9"/>
      <c r="M153" s="17"/>
    </row>
    <row r="154" ht="14.25" customHeight="1">
      <c r="A154" s="987"/>
      <c r="B154" s="978" t="s">
        <v>1386</v>
      </c>
      <c r="C154" s="979"/>
      <c r="D154" s="13"/>
      <c r="E154" s="7" t="n">
        <v>49.2</v>
      </c>
      <c r="F154" s="8" t="n">
        <v>1</v>
      </c>
      <c r="G154" s="9" t="n">
        <f>E154*F154</f>
        <v>49.2</v>
      </c>
      <c r="H154" s="17"/>
      <c r="I154" s="13"/>
      <c r="J154" s="7"/>
      <c r="K154" s="8"/>
      <c r="L154" s="9"/>
      <c r="M154" s="17"/>
    </row>
    <row r="155" ht="14.25" customHeight="1">
      <c r="A155" s="987"/>
      <c r="B155" s="978" t="s">
        <v>1387</v>
      </c>
      <c r="C155" s="979"/>
      <c r="D155" s="13"/>
      <c r="E155" s="7" t="n">
        <v>4.86</v>
      </c>
      <c r="F155" s="8" t="n">
        <v>1</v>
      </c>
      <c r="G155" s="9" t="n">
        <f>E155*F155</f>
        <v>4.86</v>
      </c>
      <c r="H155" s="17"/>
      <c r="I155" s="13"/>
      <c r="J155" s="7"/>
      <c r="K155" s="8"/>
      <c r="L155" s="9"/>
      <c r="M155" s="17"/>
    </row>
    <row r="156" ht="14.25" customHeight="1">
      <c r="A156" s="987"/>
      <c r="B156" s="978" t="s">
        <v>1388</v>
      </c>
      <c r="C156" s="979"/>
      <c r="D156" s="13"/>
      <c r="E156" s="7" t="n">
        <v>2.99</v>
      </c>
      <c r="F156" s="8" t="n">
        <v>1</v>
      </c>
      <c r="G156" s="9" t="n">
        <f>E156*F156</f>
        <v>2.99</v>
      </c>
      <c r="H156" s="17"/>
      <c r="I156" s="13"/>
      <c r="J156" s="7"/>
      <c r="K156" s="8"/>
      <c r="L156" s="9"/>
      <c r="M156" s="17"/>
    </row>
    <row r="157" ht="14.25" customHeight="1">
      <c r="A157" s="987"/>
      <c r="B157" s="978" t="s">
        <v>1389</v>
      </c>
      <c r="C157" s="979"/>
      <c r="D157" s="13"/>
      <c r="E157" s="7" t="n">
        <v>3.18</v>
      </c>
      <c r="F157" s="8" t="n">
        <v>1</v>
      </c>
      <c r="G157" s="9" t="n">
        <f>E157*F157</f>
        <v>3.18</v>
      </c>
      <c r="H157" s="17"/>
      <c r="I157" s="13"/>
      <c r="J157" s="7"/>
      <c r="K157" s="8"/>
      <c r="L157" s="9"/>
      <c r="M157" s="17"/>
    </row>
    <row r="158" ht="14.25" customHeight="1">
      <c r="A158" s="987"/>
      <c r="B158" s="978" t="s">
        <v>1390</v>
      </c>
      <c r="C158" s="979"/>
      <c r="D158" s="13"/>
      <c r="E158" s="7" t="n">
        <v>2.18</v>
      </c>
      <c r="F158" s="8" t="n">
        <v>1</v>
      </c>
      <c r="G158" s="9" t="n">
        <f>E158*F158</f>
        <v>2.18</v>
      </c>
      <c r="H158" s="17"/>
      <c r="I158" s="13"/>
      <c r="J158" s="7"/>
      <c r="K158" s="8"/>
      <c r="L158" s="9"/>
      <c r="M158" s="17"/>
    </row>
    <row r="159" ht="14.25" customHeight="1">
      <c r="A159" s="987"/>
      <c r="B159" s="978" t="s">
        <v>1391</v>
      </c>
      <c r="C159" s="979"/>
      <c r="D159" s="13"/>
      <c r="E159" s="7" t="n">
        <v>2.18</v>
      </c>
      <c r="F159" s="8" t="n">
        <v>1</v>
      </c>
      <c r="G159" s="9" t="n">
        <f>E159*F159</f>
        <v>2.18</v>
      </c>
      <c r="H159" s="17"/>
      <c r="I159" s="13"/>
      <c r="J159" s="7"/>
      <c r="K159" s="8"/>
      <c r="L159" s="9"/>
      <c r="M159" s="17"/>
    </row>
    <row r="160" ht="14.25" customHeight="1">
      <c r="A160" s="987"/>
      <c r="B160" s="978" t="s">
        <v>1392</v>
      </c>
      <c r="C160" s="979"/>
      <c r="D160" s="13"/>
      <c r="E160" s="7" t="n">
        <v>160</v>
      </c>
      <c r="F160" s="8" t="n">
        <v>1</v>
      </c>
      <c r="G160" s="9" t="n">
        <f>E160*F160</f>
        <v>160</v>
      </c>
      <c r="H160" s="17"/>
      <c r="I160" s="13"/>
      <c r="J160" s="7"/>
      <c r="K160" s="8"/>
      <c r="L160" s="9"/>
      <c r="M160" s="17"/>
    </row>
    <row r="161" ht="14.25" customHeight="1">
      <c r="A161" s="987"/>
      <c r="B161" s="978" t="s">
        <v>1393</v>
      </c>
      <c r="C161" s="979"/>
      <c r="D161" s="13"/>
      <c r="E161" s="7" t="n">
        <v>73.86</v>
      </c>
      <c r="F161" s="8" t="n">
        <v>1</v>
      </c>
      <c r="G161" s="9" t="n">
        <f>E161*F161</f>
        <v>73.86</v>
      </c>
      <c r="H161" s="17"/>
      <c r="I161" s="13"/>
      <c r="J161" s="7"/>
      <c r="K161" s="8"/>
      <c r="L161" s="9"/>
      <c r="M161" s="17"/>
    </row>
    <row r="162" ht="14.25" customHeight="1">
      <c r="A162" s="987"/>
      <c r="B162" s="978" t="s">
        <v>1394</v>
      </c>
      <c r="C162" s="979"/>
      <c r="D162" s="13"/>
      <c r="E162" s="7" t="n">
        <v>112.2</v>
      </c>
      <c r="F162" s="8" t="n">
        <v>1</v>
      </c>
      <c r="G162" s="9" t="n">
        <f>E162*F162</f>
        <v>112.2</v>
      </c>
      <c r="H162" s="17"/>
      <c r="I162" s="13"/>
      <c r="J162" s="7"/>
      <c r="K162" s="8"/>
      <c r="L162" s="9"/>
      <c r="M162" s="17"/>
    </row>
    <row r="163" ht="14.25" customHeight="1">
      <c r="A163" s="987"/>
      <c r="B163" s="978" t="s">
        <v>1395</v>
      </c>
      <c r="C163" s="979"/>
      <c r="D163" s="13"/>
      <c r="E163" s="7" t="n">
        <v>40.31</v>
      </c>
      <c r="F163" s="8" t="n">
        <v>1</v>
      </c>
      <c r="G163" s="9" t="n">
        <f>E163*F163</f>
        <v>40.31</v>
      </c>
      <c r="H163" s="17"/>
      <c r="I163" s="13"/>
      <c r="J163" s="7"/>
      <c r="K163" s="8"/>
      <c r="L163" s="9"/>
      <c r="M163" s="17"/>
    </row>
    <row r="164" ht="14.25" customHeight="1">
      <c r="A164" s="987"/>
      <c r="B164" s="978" t="s">
        <v>1396</v>
      </c>
      <c r="C164" s="979"/>
      <c r="D164" s="13"/>
      <c r="E164" s="7" t="n">
        <v>16.05</v>
      </c>
      <c r="F164" s="8" t="n">
        <v>1</v>
      </c>
      <c r="G164" s="9" t="n">
        <f>E164*F164</f>
        <v>16.05</v>
      </c>
      <c r="H164" s="17"/>
      <c r="I164" s="13"/>
      <c r="J164" s="7"/>
      <c r="K164" s="8"/>
      <c r="L164" s="9"/>
      <c r="M164" s="17"/>
    </row>
    <row r="165" ht="14.25" customHeight="1">
      <c r="A165" s="987"/>
      <c r="B165" s="978" t="s">
        <v>1397</v>
      </c>
      <c r="C165" s="979"/>
      <c r="D165" s="13"/>
      <c r="E165" s="7" t="n">
        <v>186.09</v>
      </c>
      <c r="F165" s="8" t="n">
        <v>1</v>
      </c>
      <c r="G165" s="9" t="n">
        <f>E165*F165</f>
        <v>186.09</v>
      </c>
      <c r="H165" s="17"/>
      <c r="I165" s="13"/>
      <c r="J165" s="7"/>
      <c r="K165" s="8"/>
      <c r="L165" s="9"/>
      <c r="M165" s="17"/>
    </row>
    <row r="166" ht="14.25" customHeight="1">
      <c r="A166" s="987"/>
      <c r="B166" s="978" t="s">
        <v>1398</v>
      </c>
      <c r="C166" s="979"/>
      <c r="D166" s="13"/>
      <c r="E166" s="7" t="n">
        <v>17.7</v>
      </c>
      <c r="F166" s="8" t="n">
        <v>1</v>
      </c>
      <c r="G166" s="9" t="n">
        <f>E166*F166</f>
        <v>17.7</v>
      </c>
      <c r="H166" s="17"/>
      <c r="I166" s="13"/>
      <c r="J166" s="7"/>
      <c r="K166" s="8"/>
      <c r="L166" s="9"/>
      <c r="M166" s="17"/>
    </row>
    <row r="167" ht="14.25" customHeight="1">
      <c r="A167" s="987"/>
      <c r="B167" s="978" t="s">
        <v>1399</v>
      </c>
      <c r="C167" s="979"/>
      <c r="D167" s="13"/>
      <c r="E167" s="7" t="n">
        <v>52.89</v>
      </c>
      <c r="F167" s="8" t="n">
        <v>1</v>
      </c>
      <c r="G167" s="9" t="n">
        <f>E167*F167</f>
        <v>52.89</v>
      </c>
      <c r="H167" s="17"/>
      <c r="I167" s="13"/>
      <c r="J167" s="7"/>
      <c r="K167" s="8"/>
      <c r="L167" s="9"/>
      <c r="M167" s="17"/>
    </row>
    <row r="168" ht="14.25" customHeight="1">
      <c r="A168" s="987"/>
      <c r="B168" s="978" t="s">
        <v>1400</v>
      </c>
      <c r="C168" s="979"/>
      <c r="D168" s="13"/>
      <c r="E168" s="7" t="n">
        <v>5.65</v>
      </c>
      <c r="F168" s="8" t="n">
        <v>1</v>
      </c>
      <c r="G168" s="9" t="n">
        <f>E168*F168</f>
        <v>5.65</v>
      </c>
      <c r="H168" s="17"/>
      <c r="I168" s="13"/>
      <c r="J168" s="7"/>
      <c r="K168" s="8"/>
      <c r="L168" s="9"/>
      <c r="M168" s="17"/>
    </row>
    <row r="169" ht="14.25" customHeight="1">
      <c r="A169" s="987"/>
      <c r="B169" s="978" t="s">
        <v>1401</v>
      </c>
      <c r="C169" s="979"/>
      <c r="D169" s="13"/>
      <c r="E169" s="7" t="n">
        <v>4.02</v>
      </c>
      <c r="F169" s="8" t="n">
        <v>1</v>
      </c>
      <c r="G169" s="9" t="n">
        <f>E169*F169</f>
        <v>4.02</v>
      </c>
      <c r="H169" s="17"/>
      <c r="I169" s="13"/>
      <c r="J169" s="7"/>
      <c r="K169" s="8"/>
      <c r="L169" s="9"/>
      <c r="M169" s="17"/>
    </row>
    <row r="170" ht="14.25" customHeight="1">
      <c r="A170" s="987"/>
      <c r="B170" s="978" t="s">
        <v>1402</v>
      </c>
      <c r="C170" s="979"/>
      <c r="D170" s="13"/>
      <c r="E170" s="7" t="n">
        <v>4.5</v>
      </c>
      <c r="F170" s="8" t="n">
        <v>1</v>
      </c>
      <c r="G170" s="9" t="n">
        <f>E170*F170</f>
        <v>4.5</v>
      </c>
      <c r="H170" s="17"/>
      <c r="I170" s="13"/>
      <c r="J170" s="7"/>
      <c r="K170" s="8"/>
      <c r="L170" s="9"/>
      <c r="M170" s="17"/>
    </row>
    <row r="171" ht="14.25" customHeight="1">
      <c r="A171" s="987"/>
      <c r="B171" s="978" t="s">
        <v>1403</v>
      </c>
      <c r="C171" s="979"/>
      <c r="D171" s="13"/>
      <c r="E171" s="7" t="n">
        <v>6.22</v>
      </c>
      <c r="F171" s="8" t="n">
        <v>1</v>
      </c>
      <c r="G171" s="9" t="n">
        <f>E171*F171</f>
        <v>6.22</v>
      </c>
      <c r="H171" s="17"/>
      <c r="I171" s="13"/>
      <c r="J171" s="7"/>
      <c r="K171" s="8"/>
      <c r="L171" s="9"/>
      <c r="M171" s="17"/>
    </row>
    <row r="172" ht="14.25" customHeight="1">
      <c r="A172" s="987"/>
      <c r="B172" s="978" t="s">
        <v>1404</v>
      </c>
      <c r="C172" s="979"/>
      <c r="D172" s="13"/>
      <c r="E172" s="7" t="n">
        <v>4.65</v>
      </c>
      <c r="F172" s="8" t="n">
        <v>1</v>
      </c>
      <c r="G172" s="9" t="n">
        <f>E172*F172</f>
        <v>4.65</v>
      </c>
      <c r="H172" s="17"/>
      <c r="I172" s="13"/>
      <c r="J172" s="7"/>
      <c r="K172" s="8"/>
      <c r="L172" s="9"/>
      <c r="M172" s="17"/>
    </row>
    <row r="173" ht="14.25" customHeight="1">
      <c r="A173" s="987"/>
      <c r="B173" s="978" t="s">
        <v>1405</v>
      </c>
      <c r="C173" s="979"/>
      <c r="D173" s="13"/>
      <c r="E173" s="7" t="n">
        <v>4.35</v>
      </c>
      <c r="F173" s="8" t="n">
        <v>1</v>
      </c>
      <c r="G173" s="9" t="n">
        <f>E173*F173</f>
        <v>4.35</v>
      </c>
      <c r="H173" s="17"/>
      <c r="I173" s="13"/>
      <c r="J173" s="7"/>
      <c r="K173" s="8"/>
      <c r="L173" s="9"/>
      <c r="M173" s="17"/>
    </row>
    <row r="174" ht="14.25" customHeight="1">
      <c r="A174" s="987"/>
      <c r="B174" s="978" t="s">
        <v>1406</v>
      </c>
      <c r="C174" s="979"/>
      <c r="D174" s="13"/>
      <c r="E174" s="7" t="n">
        <v>4.35</v>
      </c>
      <c r="F174" s="8" t="n">
        <v>1</v>
      </c>
      <c r="G174" s="9" t="n">
        <f>E174*F174</f>
        <v>4.35</v>
      </c>
      <c r="H174" s="17"/>
      <c r="I174" s="13"/>
      <c r="J174" s="7"/>
      <c r="K174" s="8"/>
      <c r="L174" s="9"/>
      <c r="M174" s="17"/>
    </row>
    <row r="175" ht="14.25" customHeight="1">
      <c r="A175" s="987"/>
      <c r="B175" s="978" t="s">
        <v>1407</v>
      </c>
      <c r="C175" s="979"/>
      <c r="D175" s="13"/>
      <c r="E175" s="7" t="n">
        <v>4.22</v>
      </c>
      <c r="F175" s="8" t="n">
        <v>1</v>
      </c>
      <c r="G175" s="9" t="n">
        <f>E175*F175</f>
        <v>4.22</v>
      </c>
      <c r="H175" s="17"/>
      <c r="I175" s="13"/>
      <c r="J175" s="7"/>
      <c r="K175" s="8"/>
      <c r="L175" s="9"/>
      <c r="M175" s="17"/>
    </row>
    <row r="176" ht="14.25" customHeight="1">
      <c r="A176" s="987"/>
      <c r="B176" s="978" t="s">
        <v>1408</v>
      </c>
      <c r="C176" s="979"/>
      <c r="D176" s="13"/>
      <c r="E176" s="7" t="n">
        <v>18.4</v>
      </c>
      <c r="F176" s="8" t="n">
        <v>1</v>
      </c>
      <c r="G176" s="9" t="n">
        <f>E176*F176</f>
        <v>18.4</v>
      </c>
      <c r="H176" s="17"/>
      <c r="I176" s="13"/>
      <c r="J176" s="7"/>
      <c r="K176" s="8"/>
      <c r="L176" s="9"/>
      <c r="M176" s="17"/>
    </row>
    <row r="177" ht="14.25" customHeight="1">
      <c r="A177" s="987"/>
      <c r="B177" s="978" t="s">
        <v>1409</v>
      </c>
      <c r="C177" s="979"/>
      <c r="D177" s="13"/>
      <c r="E177" s="7" t="n">
        <v>28.11</v>
      </c>
      <c r="F177" s="8" t="n">
        <v>1</v>
      </c>
      <c r="G177" s="9" t="n">
        <f>E177*F177</f>
        <v>28.11</v>
      </c>
      <c r="H177" s="17"/>
      <c r="I177" s="13"/>
      <c r="J177" s="7"/>
      <c r="K177" s="8"/>
      <c r="L177" s="9"/>
      <c r="M177" s="17"/>
    </row>
    <row r="178" ht="14.25" customHeight="1">
      <c r="A178" s="987"/>
      <c r="B178" s="978" t="s">
        <v>1410</v>
      </c>
      <c r="C178" s="979"/>
      <c r="D178" s="13"/>
      <c r="E178" s="7" t="n">
        <v>13.09</v>
      </c>
      <c r="F178" s="8" t="n">
        <v>1</v>
      </c>
      <c r="G178" s="9" t="n">
        <f>E178*F178</f>
        <v>13.09</v>
      </c>
      <c r="H178" s="17"/>
      <c r="I178" s="13"/>
      <c r="J178" s="7"/>
      <c r="K178" s="8"/>
      <c r="L178" s="9"/>
      <c r="M178" s="17"/>
    </row>
    <row r="179" ht="14.25" customHeight="1">
      <c r="A179" s="987"/>
      <c r="B179" s="978" t="s">
        <v>1411</v>
      </c>
      <c r="C179" s="979"/>
      <c r="D179" s="13"/>
      <c r="E179" s="7" t="n">
        <v>283.09</v>
      </c>
      <c r="F179" s="8" t="n">
        <v>1</v>
      </c>
      <c r="G179" s="9" t="n">
        <f>E179*F179</f>
        <v>283.09</v>
      </c>
      <c r="H179" s="17"/>
      <c r="I179" s="13"/>
      <c r="J179" s="7"/>
      <c r="K179" s="8"/>
      <c r="L179" s="9"/>
      <c r="M179" s="17"/>
    </row>
    <row r="180" ht="14.25" customHeight="1">
      <c r="A180" s="987"/>
      <c r="B180" s="978" t="s">
        <v>1412</v>
      </c>
      <c r="C180" s="979"/>
      <c r="D180" s="13"/>
      <c r="E180" s="7" t="n">
        <v>0.44</v>
      </c>
      <c r="F180" s="8" t="n">
        <v>1</v>
      </c>
      <c r="G180" s="9" t="n">
        <f>E180*F180</f>
        <v>0.44</v>
      </c>
      <c r="H180" s="17"/>
      <c r="I180" s="13"/>
      <c r="J180" s="7"/>
      <c r="K180" s="8"/>
      <c r="L180" s="9"/>
      <c r="M180" s="17"/>
    </row>
    <row r="181" ht="14.25" customHeight="1">
      <c r="A181" s="8"/>
      <c r="B181" s="983" t="s">
        <v>1251</v>
      </c>
      <c r="C181" s="983"/>
      <c r="D181" s="10"/>
      <c r="E181" s="981" t="n">
        <f>SUM(G97:G180)</f>
        <v>8049.36</v>
      </c>
      <c r="F181" s="981"/>
      <c r="G181" s="982"/>
      <c r="H181" s="30"/>
      <c r="I181" s="10"/>
      <c r="J181" s="981"/>
      <c r="K181" s="981"/>
      <c r="L181" s="982"/>
      <c r="M181" s="30"/>
    </row>
    <row r="182" ht="14.25" customHeight="1">
      <c r="A182" s="36"/>
      <c r="B182" s="37"/>
      <c r="C182" s="38"/>
      <c r="D182" s="39"/>
      <c r="E182" s="40"/>
      <c r="F182" s="41"/>
      <c r="G182" s="42"/>
      <c r="H182" s="43"/>
      <c r="I182" s="39"/>
      <c r="J182" s="40"/>
      <c r="K182" s="41"/>
      <c r="L182" s="42"/>
      <c r="M182" s="43"/>
    </row>
    <row r="183" ht="14.25" customHeight="1">
      <c r="A183" s="1007" t="s">
        <v>1324</v>
      </c>
      <c r="B183" s="980" t="s">
        <v>1325</v>
      </c>
      <c r="C183" s="979"/>
      <c r="D183" s="29" t="s">
        <v>1214</v>
      </c>
      <c r="E183" s="7" t="n">
        <v>100</v>
      </c>
      <c r="F183" s="8" t="n">
        <v>0.3</v>
      </c>
      <c r="G183" s="9" t="n">
        <f>E183*F183</f>
        <v>30</v>
      </c>
      <c r="H183" s="30"/>
      <c r="I183" s="29" t="s">
        <v>1214</v>
      </c>
      <c r="J183" s="7"/>
      <c r="K183" s="7"/>
      <c r="L183" s="9"/>
      <c r="M183" s="30"/>
    </row>
    <row r="184" ht="14.25" customHeight="1">
      <c r="A184" s="1008"/>
      <c r="B184" s="980" t="s">
        <v>1326</v>
      </c>
      <c r="C184" s="979"/>
      <c r="D184" s="29" t="s">
        <v>1214</v>
      </c>
      <c r="E184" s="7" t="n">
        <v>90</v>
      </c>
      <c r="F184" s="8" t="n">
        <v>0.3</v>
      </c>
      <c r="G184" s="9" t="n">
        <f>E184*F184</f>
        <v>27</v>
      </c>
      <c r="H184" s="30"/>
      <c r="I184" s="29" t="s">
        <v>1214</v>
      </c>
      <c r="J184" s="7"/>
      <c r="K184" s="7"/>
      <c r="L184" s="9"/>
      <c r="M184" s="30"/>
    </row>
    <row r="185" ht="14.25" customHeight="1">
      <c r="A185" s="1008"/>
      <c r="B185" s="980" t="s">
        <v>1327</v>
      </c>
      <c r="C185" s="979"/>
      <c r="D185" s="29" t="s">
        <v>1214</v>
      </c>
      <c r="E185" s="7" t="n">
        <v>5</v>
      </c>
      <c r="F185" s="8" t="n">
        <v>0.3</v>
      </c>
      <c r="G185" s="9" t="n">
        <f>E185*F185</f>
        <v>1.5</v>
      </c>
      <c r="H185" s="30"/>
      <c r="I185" s="29" t="s">
        <v>1214</v>
      </c>
      <c r="J185" s="7"/>
      <c r="K185" s="7"/>
      <c r="L185" s="9"/>
      <c r="M185" s="30"/>
    </row>
    <row r="186" ht="14.25" customHeight="1">
      <c r="A186" s="1008"/>
      <c r="B186" s="980" t="s">
        <v>1325</v>
      </c>
      <c r="C186" s="979"/>
      <c r="D186" s="29" t="s">
        <v>1214</v>
      </c>
      <c r="E186" s="7" t="n">
        <v>100</v>
      </c>
      <c r="F186" s="8" t="n">
        <v>3</v>
      </c>
      <c r="G186" s="9" t="n">
        <f>E186*F186</f>
        <v>300</v>
      </c>
      <c r="H186" s="30"/>
      <c r="I186" s="29" t="s">
        <v>1214</v>
      </c>
      <c r="J186" s="7"/>
      <c r="K186" s="7"/>
      <c r="L186" s="9"/>
      <c r="M186" s="30"/>
    </row>
    <row r="187" ht="14.25" customHeight="1">
      <c r="A187" s="1008"/>
      <c r="B187" s="980" t="s">
        <v>1326</v>
      </c>
      <c r="C187" s="979"/>
      <c r="D187" s="29" t="s">
        <v>1214</v>
      </c>
      <c r="E187" s="7" t="n">
        <v>90</v>
      </c>
      <c r="F187" s="8" t="n">
        <v>3</v>
      </c>
      <c r="G187" s="9" t="n">
        <f>E187*F187</f>
        <v>270</v>
      </c>
      <c r="H187" s="30"/>
      <c r="I187" s="29" t="s">
        <v>1214</v>
      </c>
      <c r="J187" s="7"/>
      <c r="K187" s="7"/>
      <c r="L187" s="9"/>
      <c r="M187" s="30"/>
    </row>
    <row r="188" ht="14.25" customHeight="1">
      <c r="A188" s="1009"/>
      <c r="B188" s="980" t="s">
        <v>1327</v>
      </c>
      <c r="C188" s="979"/>
      <c r="D188" s="29" t="s">
        <v>1214</v>
      </c>
      <c r="E188" s="7" t="n">
        <v>5</v>
      </c>
      <c r="F188" s="8" t="n">
        <v>3</v>
      </c>
      <c r="G188" s="9" t="n">
        <f>E188*F188</f>
        <v>15</v>
      </c>
      <c r="H188" s="30"/>
      <c r="I188" s="29" t="s">
        <v>1214</v>
      </c>
      <c r="J188" s="7"/>
      <c r="K188" s="7"/>
      <c r="L188" s="9"/>
      <c r="M188" s="30"/>
    </row>
    <row r="189" ht="14.25" customHeight="1">
      <c r="A189" s="8"/>
      <c r="B189" s="983" t="s">
        <v>1251</v>
      </c>
      <c r="C189" s="983"/>
      <c r="D189" s="10"/>
      <c r="E189" s="981" t="n">
        <f>SUM(G183:G188)</f>
        <v>643.5</v>
      </c>
      <c r="F189" s="981"/>
      <c r="G189" s="982"/>
      <c r="H189" s="44"/>
      <c r="I189" s="10"/>
      <c r="J189" s="981"/>
      <c r="K189" s="981"/>
      <c r="L189" s="982"/>
      <c r="M189" s="44"/>
    </row>
    <row r="190" ht="14.25" customHeight="1">
      <c r="A190" s="1002" t="s">
        <v>1328</v>
      </c>
      <c r="B190" s="1002"/>
      <c r="C190" s="1002"/>
      <c r="D190" s="1002"/>
      <c r="E190" s="1002"/>
      <c r="F190" s="1002"/>
      <c r="G190" s="45" t="n">
        <f>E181+E189</f>
        <v>8692.86</v>
      </c>
      <c r="H190" s="347"/>
      <c r="I190" s="46"/>
      <c r="J190" s="12"/>
      <c r="K190" s="12"/>
      <c r="L190" s="9"/>
      <c r="M190" s="7"/>
    </row>
    <row r="191" ht="14.25" customHeight="1">
      <c r="A191" s="34"/>
      <c r="B191" s="34"/>
      <c r="C191" s="35"/>
      <c r="D191" s="35"/>
      <c r="E191" s="34"/>
      <c r="F191" s="34"/>
      <c r="G191" s="35"/>
      <c r="H191" s="35"/>
      <c r="I191" s="35"/>
      <c r="J191" s="34"/>
      <c r="K191" s="34"/>
      <c r="L191" s="35"/>
      <c r="M191" s="35"/>
    </row>
    <row r="192" ht="36" customHeight="1">
      <c r="A192" s="996" t="s">
        <v>1413</v>
      </c>
      <c r="B192" s="997"/>
      <c r="C192" s="997"/>
      <c r="D192" s="997"/>
      <c r="E192" s="997"/>
      <c r="F192" s="997"/>
      <c r="G192" s="997"/>
      <c r="H192" s="997"/>
      <c r="I192" s="997"/>
      <c r="J192" s="997"/>
      <c r="K192" s="997"/>
      <c r="L192" s="997"/>
      <c r="M192" s="998"/>
    </row>
    <row r="193" ht="27" customHeight="1">
      <c r="A193" s="391" t="s">
        <v>214</v>
      </c>
      <c r="B193" s="994" t="s">
        <v>1240</v>
      </c>
      <c r="C193" s="995"/>
      <c r="D193" s="443" t="s">
        <v>1241</v>
      </c>
      <c r="E193" s="1178" t="s">
        <v>1242</v>
      </c>
      <c r="F193" s="443" t="s">
        <v>1018</v>
      </c>
      <c r="G193" s="1179" t="s">
        <v>1243</v>
      </c>
      <c r="H193" s="347" t="s">
        <v>3</v>
      </c>
      <c r="I193" s="443" t="s">
        <v>1241</v>
      </c>
      <c r="J193" s="1180" t="s">
        <v>1242</v>
      </c>
      <c r="K193" s="443" t="s">
        <v>1018</v>
      </c>
      <c r="L193" s="1181" t="s">
        <v>1243</v>
      </c>
      <c r="M193" s="347" t="s">
        <v>3</v>
      </c>
    </row>
    <row r="194" ht="14.25" customHeight="1">
      <c r="A194" s="458" t="s">
        <v>5</v>
      </c>
      <c r="B194" s="783" t="s">
        <v>5</v>
      </c>
      <c r="C194" s="783" t="s">
        <v>5</v>
      </c>
      <c r="D194" s="783" t="s">
        <v>5</v>
      </c>
      <c r="E194" s="783" t="s">
        <v>5</v>
      </c>
      <c r="F194" s="783" t="s">
        <v>5</v>
      </c>
      <c r="G194" s="805" t="s">
        <v>5</v>
      </c>
      <c r="H194" s="783" t="s">
        <v>5</v>
      </c>
      <c r="I194" s="783" t="s">
        <v>5</v>
      </c>
      <c r="J194" s="783" t="s">
        <v>5</v>
      </c>
      <c r="K194" s="783" t="s">
        <v>5</v>
      </c>
      <c r="L194" s="805" t="s">
        <v>5</v>
      </c>
      <c r="M194" s="783" t="s">
        <v>5</v>
      </c>
    </row>
    <row r="195" ht="14.25" customHeight="1">
      <c r="A195" s="987" t="s">
        <v>1252</v>
      </c>
      <c r="B195" s="1000" t="s">
        <v>1414</v>
      </c>
      <c r="C195" s="1001"/>
      <c r="D195" s="13"/>
      <c r="E195" s="7" t="n">
        <v>2361.12</v>
      </c>
      <c r="F195" s="8" t="n">
        <v>1</v>
      </c>
      <c r="G195" s="9" t="n">
        <f>E195*F195</f>
        <v>2361.12</v>
      </c>
      <c r="H195" s="14"/>
      <c r="I195" s="13" t="s">
        <v>1214</v>
      </c>
      <c r="J195" s="7"/>
      <c r="K195" s="8"/>
      <c r="L195" s="9"/>
      <c r="M195" s="14"/>
    </row>
    <row r="196" ht="14.25" customHeight="1">
      <c r="A196" s="987"/>
      <c r="B196" s="978" t="s">
        <v>1415</v>
      </c>
      <c r="C196" s="979"/>
      <c r="D196" s="13"/>
      <c r="E196" s="7" t="n">
        <v>0.88</v>
      </c>
      <c r="F196" s="8" t="n">
        <v>1</v>
      </c>
      <c r="G196" s="9" t="n">
        <f>E196*F196</f>
        <v>0.88</v>
      </c>
      <c r="H196" s="17"/>
      <c r="I196" s="13" t="s">
        <v>1214</v>
      </c>
      <c r="J196" s="7"/>
      <c r="K196" s="8"/>
      <c r="L196" s="9"/>
      <c r="M196" s="17"/>
    </row>
    <row r="197" ht="14.25" customHeight="1">
      <c r="A197" s="8"/>
      <c r="B197" s="983" t="s">
        <v>1251</v>
      </c>
      <c r="C197" s="983"/>
      <c r="D197" s="10"/>
      <c r="E197" s="981" t="n">
        <f>SUM(G195:G196)</f>
        <v>2362</v>
      </c>
      <c r="F197" s="981"/>
      <c r="G197" s="982"/>
      <c r="H197" s="30"/>
      <c r="I197" s="10"/>
      <c r="J197" s="981"/>
      <c r="K197" s="981"/>
      <c r="L197" s="982"/>
      <c r="M197" s="30"/>
    </row>
    <row r="198" ht="14.25" customHeight="1">
      <c r="A198" s="36"/>
      <c r="B198" s="37"/>
      <c r="C198" s="38"/>
      <c r="D198" s="39"/>
      <c r="E198" s="40"/>
      <c r="F198" s="41"/>
      <c r="G198" s="42"/>
      <c r="H198" s="43"/>
      <c r="I198" s="39"/>
      <c r="J198" s="40"/>
      <c r="K198" s="41"/>
      <c r="L198" s="42"/>
      <c r="M198" s="43"/>
    </row>
    <row r="199" ht="14.25" customHeight="1">
      <c r="A199" s="1007" t="s">
        <v>1324</v>
      </c>
      <c r="B199" s="980" t="s">
        <v>1325</v>
      </c>
      <c r="C199" s="979"/>
      <c r="D199" s="29" t="s">
        <v>1214</v>
      </c>
      <c r="E199" s="7" t="n">
        <v>100</v>
      </c>
      <c r="F199" s="8" t="n">
        <v>2</v>
      </c>
      <c r="G199" s="9" t="n">
        <f>E199*F199</f>
        <v>200</v>
      </c>
      <c r="H199" s="30"/>
      <c r="I199" s="29" t="s">
        <v>1214</v>
      </c>
      <c r="J199" s="7"/>
      <c r="K199" s="7"/>
      <c r="L199" s="9"/>
      <c r="M199" s="30"/>
    </row>
    <row r="200" ht="14.25" customHeight="1">
      <c r="A200" s="1008"/>
      <c r="B200" s="980" t="s">
        <v>1326</v>
      </c>
      <c r="C200" s="979"/>
      <c r="D200" s="29" t="s">
        <v>1214</v>
      </c>
      <c r="E200" s="7" t="n">
        <v>90</v>
      </c>
      <c r="F200" s="8" t="n">
        <v>2</v>
      </c>
      <c r="G200" s="9" t="n">
        <f>E200*F200</f>
        <v>180</v>
      </c>
      <c r="H200" s="30"/>
      <c r="I200" s="29" t="s">
        <v>1214</v>
      </c>
      <c r="J200" s="7"/>
      <c r="K200" s="7"/>
      <c r="L200" s="9"/>
      <c r="M200" s="30"/>
    </row>
    <row r="201" ht="14.25" customHeight="1">
      <c r="A201" s="1008"/>
      <c r="B201" s="980" t="s">
        <v>1327</v>
      </c>
      <c r="C201" s="979"/>
      <c r="D201" s="29" t="s">
        <v>1214</v>
      </c>
      <c r="E201" s="7" t="n">
        <v>5</v>
      </c>
      <c r="F201" s="8" t="n">
        <v>2</v>
      </c>
      <c r="G201" s="9" t="n">
        <f>E201*F201</f>
        <v>10</v>
      </c>
      <c r="H201" s="30"/>
      <c r="I201" s="29" t="s">
        <v>1214</v>
      </c>
      <c r="J201" s="7"/>
      <c r="K201" s="7"/>
      <c r="L201" s="9"/>
      <c r="M201" s="30"/>
    </row>
    <row r="202" ht="14.25" customHeight="1">
      <c r="A202" s="8"/>
      <c r="B202" s="983" t="s">
        <v>1251</v>
      </c>
      <c r="C202" s="983"/>
      <c r="D202" s="10"/>
      <c r="E202" s="981" t="n">
        <f>SUM(G199:G201)</f>
        <v>390</v>
      </c>
      <c r="F202" s="981"/>
      <c r="G202" s="982"/>
      <c r="H202" s="44"/>
      <c r="I202" s="10"/>
      <c r="J202" s="981"/>
      <c r="K202" s="981"/>
      <c r="L202" s="982"/>
      <c r="M202" s="44"/>
    </row>
    <row r="203" ht="14.25" customHeight="1">
      <c r="A203" s="1002" t="s">
        <v>1413</v>
      </c>
      <c r="B203" s="1002"/>
      <c r="C203" s="1002"/>
      <c r="D203" s="1002"/>
      <c r="E203" s="1002"/>
      <c r="F203" s="1002"/>
      <c r="G203" s="45" t="n">
        <f>E197+E202</f>
        <v>2752</v>
      </c>
      <c r="H203" s="347"/>
      <c r="I203" s="46"/>
      <c r="J203" s="12"/>
      <c r="K203" s="12"/>
      <c r="L203" s="9"/>
      <c r="M203" s="7"/>
    </row>
    <row r="204" ht="14.25" customHeight="1">
      <c r="A204" s="34"/>
      <c r="B204" s="34"/>
      <c r="C204" s="35"/>
      <c r="D204" s="35"/>
      <c r="E204" s="34"/>
      <c r="F204" s="34"/>
      <c r="G204" s="35"/>
      <c r="H204" s="35"/>
      <c r="I204" s="35"/>
      <c r="J204" s="34"/>
      <c r="K204" s="34"/>
      <c r="L204" s="35"/>
      <c r="M204" s="35"/>
    </row>
    <row r="205" ht="24" customHeight="1">
      <c r="A205" s="1012" t="s">
        <v>1416</v>
      </c>
      <c r="B205" s="1012"/>
      <c r="C205" s="1012"/>
      <c r="D205" s="1012"/>
      <c r="E205" s="1012"/>
      <c r="F205" s="1012"/>
      <c r="G205" s="47" t="n">
        <f>G203+G190+G91</f>
        <v>40570.8</v>
      </c>
      <c r="H205" s="347"/>
      <c r="I205" s="46"/>
      <c r="J205" s="12"/>
      <c r="K205" s="12"/>
      <c r="L205" s="47" t="n">
        <f>G203+G190+L91</f>
        <v>38056.8</v>
      </c>
      <c r="M205" s="7"/>
    </row>
  </sheetData>
  <mergeCells count="207">
    <mergeCell ref="B15:C15"/>
    <mergeCell ref="B61:C61"/>
    <mergeCell ref="E189:G189"/>
    <mergeCell ref="B117:C117"/>
    <mergeCell ref="J3:L3"/>
    <mergeCell ref="B179:C179"/>
    <mergeCell ref="B134:C134"/>
    <mergeCell ref="B98:C98"/>
    <mergeCell ref="A183:A188"/>
    <mergeCell ref="B174:C174"/>
    <mergeCell ref="B169:C169"/>
    <mergeCell ref="B196:C196"/>
    <mergeCell ref="B120:C120"/>
    <mergeCell ref="B180:C180"/>
    <mergeCell ref="J13:L13"/>
    <mergeCell ref="B156:C156"/>
    <mergeCell ref="B143:C143"/>
    <mergeCell ref="B137:C137"/>
    <mergeCell ref="B152:C152"/>
    <mergeCell ref="M6:M13"/>
    <mergeCell ref="B115:C115"/>
    <mergeCell ref="B151:C151"/>
    <mergeCell ref="B160:C160"/>
    <mergeCell ref="B187:C187"/>
    <mergeCell ref="B97:C97"/>
    <mergeCell ref="A58:F58"/>
    <mergeCell ref="B171:C171"/>
    <mergeCell ref="B158:C158"/>
    <mergeCell ref="B35:C35"/>
    <mergeCell ref="B89:C89"/>
    <mergeCell ref="A3:C3"/>
    <mergeCell ref="B40:C40"/>
    <mergeCell ref="B148:C148"/>
    <mergeCell ref="B105:C105"/>
    <mergeCell ref="B119:C119"/>
    <mergeCell ref="A2:M2"/>
    <mergeCell ref="B16:C16"/>
    <mergeCell ref="B113:C113"/>
    <mergeCell ref="B186:C186"/>
    <mergeCell ref="B101:C101"/>
    <mergeCell ref="B131:C131"/>
    <mergeCell ref="B201:C201"/>
    <mergeCell ref="B140:C140"/>
    <mergeCell ref="B199:C199"/>
    <mergeCell ref="B27:C27"/>
    <mergeCell ref="B145:C145"/>
    <mergeCell ref="A192:M192"/>
    <mergeCell ref="A6:A13"/>
    <mergeCell ref="B76:C76"/>
    <mergeCell ref="H3:H4"/>
    <mergeCell ref="B133:C133"/>
    <mergeCell ref="B85:C85"/>
    <mergeCell ref="B181:C181"/>
    <mergeCell ref="E85:G85"/>
    <mergeCell ref="B166:C166"/>
    <mergeCell ref="B32:C32"/>
    <mergeCell ref="B81:C81"/>
    <mergeCell ref="B67:C67"/>
    <mergeCell ref="J90:L90"/>
    <mergeCell ref="B141:C141"/>
    <mergeCell ref="B65:C65"/>
    <mergeCell ref="B103:C103"/>
    <mergeCell ref="B74:C74"/>
    <mergeCell ref="M15:M61"/>
    <mergeCell ref="B70:C70"/>
    <mergeCell ref="B68:C68"/>
    <mergeCell ref="B122:C122"/>
    <mergeCell ref="B69:C69"/>
    <mergeCell ref="B80:C80"/>
    <mergeCell ref="B82:C82"/>
    <mergeCell ref="A87:A89"/>
    <mergeCell ref="J189:L189"/>
    <mergeCell ref="B185:C185"/>
    <mergeCell ref="B153:C153"/>
    <mergeCell ref="B118:C118"/>
    <mergeCell ref="E90:G90"/>
    <mergeCell ref="B189:C189"/>
    <mergeCell ref="A15:A57"/>
    <mergeCell ref="A190:F190"/>
    <mergeCell ref="A1:M1"/>
    <mergeCell ref="H63:H85"/>
    <mergeCell ref="B157:C157"/>
    <mergeCell ref="B17:C17"/>
    <mergeCell ref="B193:C193"/>
    <mergeCell ref="J61:L61"/>
    <mergeCell ref="B95:C95"/>
    <mergeCell ref="B183:C183"/>
    <mergeCell ref="B124:C124"/>
    <mergeCell ref="A91:F91"/>
    <mergeCell ref="B41:C41"/>
    <mergeCell ref="B18:C18"/>
    <mergeCell ref="B125:C125"/>
    <mergeCell ref="B126:C126"/>
    <mergeCell ref="B144:C144"/>
    <mergeCell ref="J202:L202"/>
    <mergeCell ref="B149:C149"/>
    <mergeCell ref="A199:A201"/>
    <mergeCell ref="B26:C26"/>
    <mergeCell ref="B177:C177"/>
    <mergeCell ref="E61:G61"/>
    <mergeCell ref="B175:C175"/>
    <mergeCell ref="M63:M85"/>
    <mergeCell ref="B36:C36"/>
    <mergeCell ref="B24:C24"/>
    <mergeCell ref="B173:C173"/>
    <mergeCell ref="B25:C25"/>
    <mergeCell ref="B184:C184"/>
    <mergeCell ref="B128:C128"/>
    <mergeCell ref="J197:L197"/>
    <mergeCell ref="B21:C21"/>
    <mergeCell ref="B102:C102"/>
    <mergeCell ref="B23:C23"/>
    <mergeCell ref="B87:C87"/>
    <mergeCell ref="H6:H13"/>
    <mergeCell ref="B106:C106"/>
    <mergeCell ref="B72:C72"/>
    <mergeCell ref="B59:C59"/>
    <mergeCell ref="B108:C108"/>
    <mergeCell ref="B110:C110"/>
    <mergeCell ref="B132:C132"/>
    <mergeCell ref="J181:L181"/>
    <mergeCell ref="B77:C77"/>
    <mergeCell ref="B6:B12"/>
    <mergeCell ref="B114:C114"/>
    <mergeCell ref="B78:C78"/>
    <mergeCell ref="B104:C104"/>
    <mergeCell ref="B109:C109"/>
    <mergeCell ref="E197:G197"/>
    <mergeCell ref="B147:C147"/>
    <mergeCell ref="B142:C142"/>
    <mergeCell ref="B19:C19"/>
    <mergeCell ref="A195:A196"/>
    <mergeCell ref="B165:C165"/>
    <mergeCell ref="B100:C100"/>
    <mergeCell ref="B4:C4"/>
    <mergeCell ref="A97:A180"/>
    <mergeCell ref="B168:C168"/>
    <mergeCell ref="B154:C154"/>
    <mergeCell ref="B167:C167"/>
    <mergeCell ref="B188:C188"/>
    <mergeCell ref="B170:C170"/>
    <mergeCell ref="B161:C161"/>
    <mergeCell ref="B42:C42"/>
    <mergeCell ref="B34:C34"/>
    <mergeCell ref="A203:F203"/>
    <mergeCell ref="B33:C33"/>
    <mergeCell ref="B66:C66"/>
    <mergeCell ref="B138:C138"/>
    <mergeCell ref="B64:C64"/>
    <mergeCell ref="B136:C136"/>
    <mergeCell ref="B197:C197"/>
    <mergeCell ref="B29:C29"/>
    <mergeCell ref="B75:C75"/>
    <mergeCell ref="B107:C107"/>
    <mergeCell ref="B28:C28"/>
    <mergeCell ref="B79:C79"/>
    <mergeCell ref="B88:C88"/>
    <mergeCell ref="B112:C112"/>
    <mergeCell ref="B63:C63"/>
    <mergeCell ref="B123:C123"/>
    <mergeCell ref="B159:C159"/>
    <mergeCell ref="B43:C43"/>
    <mergeCell ref="B139:C139"/>
    <mergeCell ref="E202:G202"/>
    <mergeCell ref="E3:G3"/>
    <mergeCell ref="B200:C200"/>
    <mergeCell ref="B22:C22"/>
    <mergeCell ref="B127:C127"/>
    <mergeCell ref="B37:C37"/>
    <mergeCell ref="B162:C162"/>
    <mergeCell ref="E13:G13"/>
    <mergeCell ref="B155:C155"/>
    <mergeCell ref="B135:C135"/>
    <mergeCell ref="B121:C121"/>
    <mergeCell ref="B111:C111"/>
    <mergeCell ref="A63:A84"/>
    <mergeCell ref="E181:G181"/>
    <mergeCell ref="B164:C164"/>
    <mergeCell ref="B163:C163"/>
    <mergeCell ref="B116:C116"/>
    <mergeCell ref="B130:C130"/>
    <mergeCell ref="B60:C60"/>
    <mergeCell ref="H15:H61"/>
    <mergeCell ref="B178:C178"/>
    <mergeCell ref="A94:M94"/>
    <mergeCell ref="B202:C202"/>
    <mergeCell ref="A205:F205"/>
    <mergeCell ref="B84:C84"/>
    <mergeCell ref="B172:C172"/>
    <mergeCell ref="B146:C146"/>
    <mergeCell ref="M3:M4"/>
    <mergeCell ref="B150:C150"/>
    <mergeCell ref="B99:C99"/>
    <mergeCell ref="B195:C195"/>
    <mergeCell ref="B20:C20"/>
    <mergeCell ref="B90:C90"/>
    <mergeCell ref="B31:C31"/>
    <mergeCell ref="B71:C71"/>
    <mergeCell ref="J85:L85"/>
    <mergeCell ref="B176:C176"/>
    <mergeCell ref="B129:C129"/>
    <mergeCell ref="B38:C38"/>
    <mergeCell ref="B39:C39"/>
    <mergeCell ref="B13:C13"/>
    <mergeCell ref="B73:C73"/>
    <mergeCell ref="B83:C83"/>
    <mergeCell ref="B30:C30"/>
  </mergeCells>
  <phoneticPr fontId="1" type="noConversion"/>
  <conditionalFormatting sqref="G63">
    <cfRule priority="93" type="cellIs" operator="lessThan" dxfId="0" stopIfTrue="1">
      <formula>0</formula>
    </cfRule>
  </conditionalFormatting>
  <conditionalFormatting sqref="L97 L110 L112:L114">
    <cfRule priority="42" type="cellIs" operator="lessThan" dxfId="0" stopIfTrue="1">
      <formula>0</formula>
    </cfRule>
  </conditionalFormatting>
  <conditionalFormatting sqref="J12">
    <cfRule priority="53" type="cellIs" operator="lessThan" dxfId="0" stopIfTrue="1">
      <formula>0</formula>
    </cfRule>
  </conditionalFormatting>
  <conditionalFormatting sqref="L36">
    <cfRule priority="62" type="cellIs" operator="lessThan" dxfId="0" stopIfTrue="1">
      <formula>0</formula>
    </cfRule>
  </conditionalFormatting>
  <conditionalFormatting sqref="G42">
    <cfRule priority="124" type="cellIs" operator="lessThan" dxfId="0" stopIfTrue="1">
      <formula>0</formula>
    </cfRule>
  </conditionalFormatting>
  <conditionalFormatting sqref="L41">
    <cfRule priority="66" type="cellIs" operator="lessThan" dxfId="0" stopIfTrue="1">
      <formula>0</formula>
    </cfRule>
  </conditionalFormatting>
  <conditionalFormatting sqref="L98">
    <cfRule priority="29" type="cellIs" operator="lessThan" dxfId="0" stopIfTrue="1">
      <formula>0</formula>
    </cfRule>
  </conditionalFormatting>
  <conditionalFormatting sqref="J59:J60 J63:J84 L75:L84 L59:L60">
    <cfRule priority="87" type="cellIs" operator="lessThan" dxfId="0" stopIfTrue="1">
      <formula>0</formula>
    </cfRule>
  </conditionalFormatting>
  <conditionalFormatting sqref="J116 L116">
    <cfRule priority="40" type="cellIs" operator="lessThan" dxfId="0" stopIfTrue="1">
      <formula>0</formula>
    </cfRule>
  </conditionalFormatting>
  <conditionalFormatting sqref="J9">
    <cfRule priority="79" type="cellIs" operator="lessThan" dxfId="0" stopIfTrue="1">
      <formula>0</formula>
    </cfRule>
  </conditionalFormatting>
  <conditionalFormatting sqref="G18 G20:G22">
    <cfRule priority="117" type="cellIs" operator="lessThan" dxfId="0" stopIfTrue="1">
      <formula>0</formula>
    </cfRule>
  </conditionalFormatting>
  <conditionalFormatting sqref="G195:G196 G198">
    <cfRule priority="6" type="cellIs" operator="lessThan" dxfId="0" stopIfTrue="1">
      <formula>0</formula>
    </cfRule>
  </conditionalFormatting>
  <conditionalFormatting sqref="E15:E33">
    <cfRule priority="109" type="cellIs" operator="lessThan" dxfId="0" stopIfTrue="1">
      <formula>0</formula>
    </cfRule>
  </conditionalFormatting>
  <conditionalFormatting sqref="L64:L65">
    <cfRule priority="55" type="cellIs" operator="lessThan" dxfId="0" stopIfTrue="1">
      <formula>0</formula>
    </cfRule>
  </conditionalFormatting>
  <conditionalFormatting sqref="L196">
    <cfRule priority="11" type="cellIs" operator="lessThan" dxfId="0" stopIfTrue="1">
      <formula>0</formula>
    </cfRule>
  </conditionalFormatting>
  <conditionalFormatting sqref="E115">
    <cfRule priority="47" type="cellIs" operator="lessThan" dxfId="0" stopIfTrue="1">
      <formula>0</formula>
    </cfRule>
  </conditionalFormatting>
  <conditionalFormatting sqref="I183:L185">
    <cfRule priority="18" type="cellIs" operator="lessThan" dxfId="0" stopIfTrue="1">
      <formula>0</formula>
    </cfRule>
  </conditionalFormatting>
  <conditionalFormatting sqref="E59:E60 E63:E84 G75:G84 G59:G60">
    <cfRule priority="129" type="cellIs" operator="lessThan" dxfId="0" stopIfTrue="1">
      <formula>0</formula>
    </cfRule>
  </conditionalFormatting>
  <conditionalFormatting sqref="J43:J57">
    <cfRule priority="48" type="cellIs" operator="lessThan" dxfId="0" stopIfTrue="1">
      <formula>0</formula>
    </cfRule>
  </conditionalFormatting>
  <conditionalFormatting sqref="G66:G67">
    <cfRule priority="98" type="cellIs" operator="lessThan" dxfId="0" stopIfTrue="1">
      <formula>0</formula>
    </cfRule>
  </conditionalFormatting>
  <conditionalFormatting sqref="J6:J8">
    <cfRule priority="88" type="cellIs" operator="lessThan" dxfId="0" stopIfTrue="1">
      <formula>0</formula>
    </cfRule>
  </conditionalFormatting>
  <conditionalFormatting sqref="L66:L67">
    <cfRule priority="56" type="cellIs" operator="lessThan" dxfId="0" stopIfTrue="1">
      <formula>0</formula>
    </cfRule>
  </conditionalFormatting>
  <conditionalFormatting sqref="L119">
    <cfRule priority="26" type="cellIs" operator="lessThan" dxfId="0" stopIfTrue="1">
      <formula>0</formula>
    </cfRule>
  </conditionalFormatting>
  <conditionalFormatting sqref="G71:G72">
    <cfRule priority="100" type="cellIs" operator="lessThan" dxfId="0" stopIfTrue="1">
      <formula>0</formula>
    </cfRule>
  </conditionalFormatting>
  <conditionalFormatting sqref="L198">
    <cfRule priority="9" type="cellIs" operator="lessThan" dxfId="0" stopIfTrue="1">
      <formula>0</formula>
    </cfRule>
  </conditionalFormatting>
  <conditionalFormatting sqref="E10:E11">
    <cfRule priority="125" type="cellIs" operator="lessThan" dxfId="0" stopIfTrue="1">
      <formula>0</formula>
    </cfRule>
  </conditionalFormatting>
  <conditionalFormatting sqref="E198">
    <cfRule priority="14" type="cellIs" operator="lessThan" dxfId="0" stopIfTrue="1">
      <formula>0</formula>
    </cfRule>
  </conditionalFormatting>
  <conditionalFormatting sqref="E43:E57">
    <cfRule priority="90" type="cellIs" operator="lessThan" dxfId="0" stopIfTrue="1">
      <formula>0</formula>
    </cfRule>
  </conditionalFormatting>
  <conditionalFormatting sqref="L203:M203">
    <cfRule priority="7" type="cellIs" operator="lessThan" dxfId="0" stopIfTrue="1">
      <formula>0</formula>
    </cfRule>
  </conditionalFormatting>
  <conditionalFormatting sqref="E34 G34">
    <cfRule priority="126" type="cellIs" operator="lessThan" dxfId="0" stopIfTrue="1">
      <formula>0</formula>
    </cfRule>
  </conditionalFormatting>
  <conditionalFormatting sqref="J36:J41">
    <cfRule priority="60" type="cellIs" operator="lessThan" dxfId="0" stopIfTrue="1">
      <formula>0</formula>
    </cfRule>
  </conditionalFormatting>
  <conditionalFormatting sqref="E97:E114">
    <cfRule priority="45" type="cellIs" operator="lessThan" dxfId="0" stopIfTrue="1">
      <formula>0</formula>
    </cfRule>
  </conditionalFormatting>
  <conditionalFormatting sqref="D183:E185 G183:G185">
    <cfRule priority="19" type="cellIs" operator="lessThan" dxfId="0" stopIfTrue="1">
      <formula>0</formula>
    </cfRule>
  </conditionalFormatting>
  <conditionalFormatting sqref="L109">
    <cfRule priority="39" type="cellIs" operator="lessThan" dxfId="0" stopIfTrue="1">
      <formula>0</formula>
    </cfRule>
  </conditionalFormatting>
  <conditionalFormatting sqref="L28">
    <cfRule priority="78" type="cellIs" operator="lessThan" dxfId="0" stopIfTrue="1">
      <formula>0</formula>
    </cfRule>
  </conditionalFormatting>
  <conditionalFormatting sqref="L68 L70">
    <cfRule priority="57" type="cellIs" operator="lessThan" dxfId="0" stopIfTrue="1">
      <formula>0</formula>
    </cfRule>
  </conditionalFormatting>
  <conditionalFormatting sqref="L117">
    <cfRule priority="24" type="cellIs" operator="lessThan" dxfId="0" stopIfTrue="1">
      <formula>0</formula>
    </cfRule>
  </conditionalFormatting>
  <conditionalFormatting sqref="G12">
    <cfRule priority="96" type="cellIs" operator="lessThan" dxfId="0" stopIfTrue="1">
      <formula>0</formula>
    </cfRule>
  </conditionalFormatting>
  <conditionalFormatting sqref="L40">
    <cfRule priority="61" type="cellIs" operator="lessThan" dxfId="0" stopIfTrue="1">
      <formula>0</formula>
    </cfRule>
  </conditionalFormatting>
  <conditionalFormatting sqref="G37">
    <cfRule priority="105" type="cellIs" operator="lessThan" dxfId="0" stopIfTrue="1">
      <formula>0</formula>
    </cfRule>
  </conditionalFormatting>
  <conditionalFormatting sqref="E35 G35">
    <cfRule priority="123" type="cellIs" operator="lessThan" dxfId="0" stopIfTrue="1">
      <formula>0</formula>
    </cfRule>
  </conditionalFormatting>
  <conditionalFormatting sqref="L120">
    <cfRule priority="27" type="cellIs" operator="lessThan" dxfId="0" stopIfTrue="1">
      <formula>0</formula>
    </cfRule>
  </conditionalFormatting>
  <conditionalFormatting sqref="E36:E41">
    <cfRule priority="102" type="cellIs" operator="lessThan" dxfId="0" stopIfTrue="1">
      <formula>0</formula>
    </cfRule>
  </conditionalFormatting>
  <conditionalFormatting sqref="G28">
    <cfRule priority="120" type="cellIs" operator="lessThan" dxfId="0" stopIfTrue="1">
      <formula>0</formula>
    </cfRule>
  </conditionalFormatting>
  <conditionalFormatting sqref="D199:E201 G199:G201">
    <cfRule priority="5" type="cellIs" operator="lessThan" dxfId="0" stopIfTrue="1">
      <formula>0</formula>
    </cfRule>
  </conditionalFormatting>
  <conditionalFormatting sqref="J115 L115">
    <cfRule priority="41" type="cellIs" operator="lessThan" dxfId="0" stopIfTrue="1">
      <formula>0</formula>
    </cfRule>
  </conditionalFormatting>
  <conditionalFormatting sqref="J97:J114">
    <cfRule priority="28" type="cellIs" operator="lessThan" dxfId="0" stopIfTrue="1">
      <formula>0</formula>
    </cfRule>
  </conditionalFormatting>
  <conditionalFormatting sqref="G39">
    <cfRule priority="107" type="cellIs" operator="lessThan" dxfId="0" stopIfTrue="1">
      <formula>0</formula>
    </cfRule>
  </conditionalFormatting>
  <conditionalFormatting sqref="G9:G11">
    <cfRule priority="127" type="cellIs" operator="lessThan" dxfId="0" stopIfTrue="1">
      <formula>0</formula>
    </cfRule>
  </conditionalFormatting>
  <conditionalFormatting sqref="L121:L180 L182">
    <cfRule priority="23" type="cellIs" operator="lessThan" dxfId="0" stopIfTrue="1">
      <formula>0</formula>
    </cfRule>
  </conditionalFormatting>
  <conditionalFormatting sqref="E12">
    <cfRule priority="95" type="cellIs" operator="lessThan" dxfId="0" stopIfTrue="1">
      <formula>0</formula>
    </cfRule>
  </conditionalFormatting>
  <conditionalFormatting sqref="G64:G65">
    <cfRule priority="97" type="cellIs" operator="lessThan" dxfId="0" stopIfTrue="1">
      <formula>0</formula>
    </cfRule>
  </conditionalFormatting>
  <conditionalFormatting sqref="J198">
    <cfRule priority="8" type="cellIs" operator="lessThan" dxfId="0" stopIfTrue="1">
      <formula>0</formula>
    </cfRule>
  </conditionalFormatting>
  <conditionalFormatting sqref="G97:G180 G182">
    <cfRule priority="20" type="cellIs" operator="lessThan" dxfId="0" stopIfTrue="1">
      <formula>0</formula>
    </cfRule>
  </conditionalFormatting>
  <conditionalFormatting sqref="L71:L72">
    <cfRule priority="58" type="cellIs" operator="lessThan" dxfId="0" stopIfTrue="1">
      <formula>0</formula>
    </cfRule>
  </conditionalFormatting>
  <conditionalFormatting sqref="L105">
    <cfRule priority="32" type="cellIs" operator="lessThan" dxfId="0" stopIfTrue="1">
      <formula>0</formula>
    </cfRule>
  </conditionalFormatting>
  <conditionalFormatting sqref="G16">
    <cfRule priority="110" type="cellIs" operator="lessThan" dxfId="0" stopIfTrue="1">
      <formula>0</formula>
    </cfRule>
  </conditionalFormatting>
  <conditionalFormatting sqref="I87:L89">
    <cfRule priority="50" type="cellIs" operator="lessThan" dxfId="0" stopIfTrue="1">
      <formula>0</formula>
    </cfRule>
  </conditionalFormatting>
  <conditionalFormatting sqref="J117:J180 J182">
    <cfRule priority="22" type="cellIs" operator="lessThan" dxfId="0" stopIfTrue="1">
      <formula>0</formula>
    </cfRule>
  </conditionalFormatting>
  <conditionalFormatting sqref="L73:L74">
    <cfRule priority="59" type="cellIs" operator="lessThan" dxfId="0" stopIfTrue="1">
      <formula>0</formula>
    </cfRule>
  </conditionalFormatting>
  <conditionalFormatting sqref="G23">
    <cfRule priority="116" type="cellIs" operator="lessThan" dxfId="0" stopIfTrue="1">
      <formula>0</formula>
    </cfRule>
  </conditionalFormatting>
  <conditionalFormatting sqref="L38">
    <cfRule priority="64" type="cellIs" operator="lessThan" dxfId="0" stopIfTrue="1">
      <formula>0</formula>
    </cfRule>
  </conditionalFormatting>
  <conditionalFormatting sqref="J34 L34">
    <cfRule priority="84" type="cellIs" operator="lessThan" dxfId="0" stopIfTrue="1">
      <formula>0</formula>
    </cfRule>
  </conditionalFormatting>
  <conditionalFormatting sqref="L25">
    <cfRule priority="72" type="cellIs" operator="lessThan" dxfId="0" stopIfTrue="1">
      <formula>0</formula>
    </cfRule>
  </conditionalFormatting>
  <conditionalFormatting sqref="L101">
    <cfRule priority="30" type="cellIs" operator="lessThan" dxfId="0" stopIfTrue="1">
      <formula>0</formula>
    </cfRule>
  </conditionalFormatting>
  <conditionalFormatting sqref="L99">
    <cfRule priority="31" type="cellIs" operator="lessThan" dxfId="0" stopIfTrue="1">
      <formula>0</formula>
    </cfRule>
  </conditionalFormatting>
  <conditionalFormatting sqref="L26">
    <cfRule priority="73" type="cellIs" operator="lessThan" dxfId="0" stopIfTrue="1">
      <formula>0</formula>
    </cfRule>
  </conditionalFormatting>
  <conditionalFormatting sqref="D87:G89">
    <cfRule priority="92" type="cellIs" operator="lessThan" dxfId="0" stopIfTrue="1">
      <formula>0</formula>
    </cfRule>
  </conditionalFormatting>
  <conditionalFormatting sqref="G73:G74">
    <cfRule priority="101" type="cellIs" operator="lessThan" dxfId="0" stopIfTrue="1">
      <formula>0</formula>
    </cfRule>
  </conditionalFormatting>
  <conditionalFormatting sqref="E6:E8">
    <cfRule priority="130" type="cellIs" operator="lessThan" dxfId="0" stopIfTrue="1">
      <formula>0</formula>
    </cfRule>
  </conditionalFormatting>
  <conditionalFormatting sqref="I186:L188">
    <cfRule priority="16" type="cellIs" operator="lessThan" dxfId="0" stopIfTrue="1">
      <formula>0</formula>
    </cfRule>
  </conditionalFormatting>
  <conditionalFormatting sqref="L19">
    <cfRule priority="69" type="cellIs" operator="lessThan" dxfId="0" stopIfTrue="1">
      <formula>0</formula>
    </cfRule>
  </conditionalFormatting>
  <conditionalFormatting sqref="L63">
    <cfRule priority="51" type="cellIs" operator="lessThan" dxfId="0" stopIfTrue="1">
      <formula>0</formula>
    </cfRule>
  </conditionalFormatting>
  <conditionalFormatting sqref="E195:E196">
    <cfRule priority="15" type="cellIs" operator="lessThan" dxfId="0" stopIfTrue="1">
      <formula>0</formula>
    </cfRule>
  </conditionalFormatting>
  <conditionalFormatting sqref="L16">
    <cfRule priority="68" type="cellIs" operator="lessThan" dxfId="0" stopIfTrue="1">
      <formula>0</formula>
    </cfRule>
  </conditionalFormatting>
  <conditionalFormatting sqref="G30">
    <cfRule priority="119" type="cellIs" operator="lessThan" dxfId="0" stopIfTrue="1">
      <formula>0</formula>
    </cfRule>
  </conditionalFormatting>
  <conditionalFormatting sqref="G15 G31:G33 G29">
    <cfRule priority="128" type="cellIs" operator="lessThan" dxfId="0" stopIfTrue="1">
      <formula>0</formula>
    </cfRule>
  </conditionalFormatting>
  <conditionalFormatting sqref="J35 L35">
    <cfRule priority="81" type="cellIs" operator="lessThan" dxfId="0" stopIfTrue="1">
      <formula>0</formula>
    </cfRule>
  </conditionalFormatting>
  <conditionalFormatting sqref="E117:E180 E182">
    <cfRule priority="44" type="cellIs" operator="lessThan" dxfId="0" stopIfTrue="1">
      <formula>0</formula>
    </cfRule>
  </conditionalFormatting>
  <conditionalFormatting sqref="L23">
    <cfRule priority="74" type="cellIs" operator="lessThan" dxfId="0" stopIfTrue="1">
      <formula>0</formula>
    </cfRule>
  </conditionalFormatting>
  <conditionalFormatting sqref="J15:J33">
    <cfRule priority="67" type="cellIs" operator="lessThan" dxfId="0" stopIfTrue="1">
      <formula>0</formula>
    </cfRule>
  </conditionalFormatting>
  <conditionalFormatting sqref="L107">
    <cfRule priority="34" type="cellIs" operator="lessThan" dxfId="0" stopIfTrue="1">
      <formula>0</formula>
    </cfRule>
  </conditionalFormatting>
  <conditionalFormatting sqref="G190">
    <cfRule priority="43" type="cellIs" operator="lessThan" dxfId="0" stopIfTrue="1">
      <formula>0</formula>
    </cfRule>
  </conditionalFormatting>
  <conditionalFormatting sqref="L100 L102:L103">
    <cfRule priority="36" type="cellIs" operator="lessThan" dxfId="0" stopIfTrue="1">
      <formula>0</formula>
    </cfRule>
  </conditionalFormatting>
  <conditionalFormatting sqref="G27">
    <cfRule priority="118" type="cellIs" operator="lessThan" dxfId="0" stopIfTrue="1">
      <formula>0</formula>
    </cfRule>
  </conditionalFormatting>
  <conditionalFormatting sqref="G38">
    <cfRule priority="106" type="cellIs" operator="lessThan" dxfId="0" stopIfTrue="1">
      <formula>0</formula>
    </cfRule>
  </conditionalFormatting>
  <conditionalFormatting sqref="L43:L58">
    <cfRule priority="49" type="cellIs" operator="lessThan" dxfId="0" stopIfTrue="1">
      <formula>0</formula>
    </cfRule>
  </conditionalFormatting>
  <conditionalFormatting sqref="G205">
    <cfRule priority="3" type="cellIs" operator="lessThan" dxfId="0" stopIfTrue="1">
      <formula>0</formula>
    </cfRule>
  </conditionalFormatting>
  <conditionalFormatting sqref="J42">
    <cfRule priority="80" type="cellIs" operator="lessThan" dxfId="0" stopIfTrue="1">
      <formula>0</formula>
    </cfRule>
  </conditionalFormatting>
  <conditionalFormatting sqref="L9:L11">
    <cfRule priority="85" type="cellIs" operator="lessThan" dxfId="0" stopIfTrue="1">
      <formula>0</formula>
    </cfRule>
  </conditionalFormatting>
  <conditionalFormatting sqref="G203">
    <cfRule priority="13" type="cellIs" operator="lessThan" dxfId="0" stopIfTrue="1">
      <formula>0</formula>
    </cfRule>
  </conditionalFormatting>
  <conditionalFormatting sqref="L39">
    <cfRule priority="65" type="cellIs" operator="lessThan" dxfId="0" stopIfTrue="1">
      <formula>0</formula>
    </cfRule>
  </conditionalFormatting>
  <conditionalFormatting sqref="E42">
    <cfRule priority="122" type="cellIs" operator="lessThan" dxfId="0" stopIfTrue="1">
      <formula>0</formula>
    </cfRule>
  </conditionalFormatting>
  <conditionalFormatting sqref="J10:J11">
    <cfRule priority="83" type="cellIs" operator="lessThan" dxfId="0" stopIfTrue="1">
      <formula>0</formula>
    </cfRule>
  </conditionalFormatting>
  <conditionalFormatting sqref="L30">
    <cfRule priority="77" type="cellIs" operator="lessThan" dxfId="0" stopIfTrue="1">
      <formula>0</formula>
    </cfRule>
  </conditionalFormatting>
  <conditionalFormatting sqref="L6:L8">
    <cfRule priority="89" type="cellIs" operator="lessThan" dxfId="0" stopIfTrue="1">
      <formula>0</formula>
    </cfRule>
  </conditionalFormatting>
  <conditionalFormatting sqref="D186:E188 G186:G188">
    <cfRule priority="17" type="cellIs" operator="lessThan" dxfId="0" stopIfTrue="1">
      <formula>0</formula>
    </cfRule>
  </conditionalFormatting>
  <conditionalFormatting sqref="M205">
    <cfRule priority="2" type="cellIs" operator="lessThan" dxfId="0" stopIfTrue="1">
      <formula>0</formula>
    </cfRule>
  </conditionalFormatting>
  <conditionalFormatting sqref="L12">
    <cfRule priority="54" type="cellIs" operator="lessThan" dxfId="0" stopIfTrue="1">
      <formula>0</formula>
    </cfRule>
  </conditionalFormatting>
  <conditionalFormatting sqref="L24">
    <cfRule priority="71" type="cellIs" operator="lessThan" dxfId="0" stopIfTrue="1">
      <formula>0</formula>
    </cfRule>
  </conditionalFormatting>
  <conditionalFormatting sqref="G40">
    <cfRule priority="103" type="cellIs" operator="lessThan" dxfId="0" stopIfTrue="1">
      <formula>0</formula>
    </cfRule>
  </conditionalFormatting>
  <conditionalFormatting sqref="G25">
    <cfRule priority="114" type="cellIs" operator="lessThan" dxfId="0" stopIfTrue="1">
      <formula>0</formula>
    </cfRule>
  </conditionalFormatting>
  <conditionalFormatting sqref="I199:L201">
    <cfRule priority="4" type="cellIs" operator="lessThan" dxfId="0" stopIfTrue="1">
      <formula>0</formula>
    </cfRule>
  </conditionalFormatting>
  <conditionalFormatting sqref="L18 L20:L22">
    <cfRule priority="75" type="cellIs" operator="lessThan" dxfId="0" stopIfTrue="1">
      <formula>0</formula>
    </cfRule>
  </conditionalFormatting>
  <conditionalFormatting sqref="G68 G70">
    <cfRule priority="99" type="cellIs" operator="lessThan" dxfId="0" stopIfTrue="1">
      <formula>0</formula>
    </cfRule>
  </conditionalFormatting>
  <conditionalFormatting sqref="G41">
    <cfRule priority="108" type="cellIs" operator="lessThan" dxfId="0" stopIfTrue="1">
      <formula>0</formula>
    </cfRule>
  </conditionalFormatting>
  <conditionalFormatting sqref="L106">
    <cfRule priority="33" type="cellIs" operator="lessThan" dxfId="0" stopIfTrue="1">
      <formula>0</formula>
    </cfRule>
  </conditionalFormatting>
  <conditionalFormatting sqref="L42">
    <cfRule priority="82" type="cellIs" operator="lessThan" dxfId="0" stopIfTrue="1">
      <formula>0</formula>
    </cfRule>
  </conditionalFormatting>
  <conditionalFormatting sqref="L111">
    <cfRule priority="38" type="cellIs" operator="lessThan" dxfId="0" stopIfTrue="1">
      <formula>0</formula>
    </cfRule>
  </conditionalFormatting>
  <conditionalFormatting sqref="J195:J196">
    <cfRule priority="10" type="cellIs" operator="lessThan" dxfId="0" stopIfTrue="1">
      <formula>0</formula>
    </cfRule>
  </conditionalFormatting>
  <conditionalFormatting sqref="G19">
    <cfRule priority="111" type="cellIs" operator="lessThan" dxfId="0" stopIfTrue="1">
      <formula>0</formula>
    </cfRule>
  </conditionalFormatting>
  <conditionalFormatting sqref="L190:M190">
    <cfRule priority="21" type="cellIs" operator="lessThan" dxfId="0" stopIfTrue="1">
      <formula>0</formula>
    </cfRule>
  </conditionalFormatting>
  <conditionalFormatting sqref="G6:G8">
    <cfRule priority="131" type="cellIs" operator="lessThan" dxfId="0" stopIfTrue="1">
      <formula>0</formula>
    </cfRule>
  </conditionalFormatting>
  <conditionalFormatting sqref="G69">
    <cfRule priority="94" type="cellIs" operator="lessThan" dxfId="0" stopIfTrue="1">
      <formula>0</formula>
    </cfRule>
  </conditionalFormatting>
  <conditionalFormatting sqref="G17">
    <cfRule priority="112" type="cellIs" operator="lessThan" dxfId="0" stopIfTrue="1">
      <formula>0</formula>
    </cfRule>
  </conditionalFormatting>
  <conditionalFormatting sqref="E9">
    <cfRule priority="121" type="cellIs" operator="lessThan" dxfId="0" stopIfTrue="1">
      <formula>0</formula>
    </cfRule>
  </conditionalFormatting>
  <conditionalFormatting sqref="L118">
    <cfRule priority="25" type="cellIs" operator="lessThan" dxfId="0" stopIfTrue="1">
      <formula>0</formula>
    </cfRule>
  </conditionalFormatting>
  <conditionalFormatting sqref="L27">
    <cfRule priority="76" type="cellIs" operator="lessThan" dxfId="0" stopIfTrue="1">
      <formula>0</formula>
    </cfRule>
  </conditionalFormatting>
  <conditionalFormatting sqref="L205">
    <cfRule priority="1" type="cellIs" operator="lessThan" dxfId="0" stopIfTrue="1">
      <formula>0</formula>
    </cfRule>
  </conditionalFormatting>
  <conditionalFormatting sqref="L104">
    <cfRule priority="35" type="cellIs" operator="lessThan" dxfId="0" stopIfTrue="1">
      <formula>0</formula>
    </cfRule>
  </conditionalFormatting>
  <conditionalFormatting sqref="G36">
    <cfRule priority="104" type="cellIs" operator="lessThan" dxfId="0" stopIfTrue="1">
      <formula>0</formula>
    </cfRule>
  </conditionalFormatting>
  <conditionalFormatting sqref="G43:G58">
    <cfRule priority="91" type="cellIs" operator="lessThan" dxfId="0" stopIfTrue="1">
      <formula>0</formula>
    </cfRule>
  </conditionalFormatting>
  <conditionalFormatting sqref="L108">
    <cfRule priority="37" type="cellIs" operator="lessThan" dxfId="0" stopIfTrue="1">
      <formula>0</formula>
    </cfRule>
  </conditionalFormatting>
  <conditionalFormatting sqref="L195">
    <cfRule priority="12" type="cellIs" operator="lessThan" dxfId="0" stopIfTrue="1">
      <formula>0</formula>
    </cfRule>
  </conditionalFormatting>
  <conditionalFormatting sqref="L69">
    <cfRule priority="52" type="cellIs" operator="lessThan" dxfId="0" stopIfTrue="1">
      <formula>0</formula>
    </cfRule>
  </conditionalFormatting>
  <conditionalFormatting sqref="E116">
    <cfRule priority="46" type="cellIs" operator="lessThan" dxfId="0" stopIfTrue="1">
      <formula>0</formula>
    </cfRule>
  </conditionalFormatting>
  <conditionalFormatting sqref="L37">
    <cfRule priority="63" type="cellIs" operator="lessThan" dxfId="0" stopIfTrue="1">
      <formula>0</formula>
    </cfRule>
  </conditionalFormatting>
  <conditionalFormatting sqref="L17">
    <cfRule priority="70" type="cellIs" operator="lessThan" dxfId="0" stopIfTrue="1">
      <formula>0</formula>
    </cfRule>
  </conditionalFormatting>
  <conditionalFormatting sqref="G24">
    <cfRule priority="113" type="cellIs" operator="lessThan" dxfId="0" stopIfTrue="1">
      <formula>0</formula>
    </cfRule>
  </conditionalFormatting>
  <conditionalFormatting sqref="G26">
    <cfRule priority="115" type="cellIs" operator="lessThan" dxfId="0" stopIfTrue="1">
      <formula>0</formula>
    </cfRule>
  </conditionalFormatting>
  <conditionalFormatting sqref="L15 L31:L33 L29">
    <cfRule priority="86" type="cellIs" operator="lessThan" dxfId="0" stopIfTrue="1">
      <formula>0</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2026-07-10T19:14:13Z</dcterms:modified>
</cp:coreProperties>
</file>